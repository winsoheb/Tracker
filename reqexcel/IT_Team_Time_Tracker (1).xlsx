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oostelijkeonderneming-my.sharepoint.com/personal/v_bhakde_easternenterprise_com/Documents/"/>
    </mc:Choice>
  </mc:AlternateContent>
  <xr:revisionPtr revIDLastSave="0" documentId="8_{0157833C-36D8-4DE7-8B43-0DAD2CF02424}" xr6:coauthVersionLast="47" xr6:coauthVersionMax="47" xr10:uidLastSave="{00000000-0000-0000-0000-000000000000}"/>
  <bookViews>
    <workbookView minimized="1" xWindow="29265" yWindow="3615" windowWidth="17280" windowHeight="8880" tabRatio="500" firstSheet="3" activeTab="5" xr2:uid="{00000000-000D-0000-FFFF-FFFF00000000}"/>
  </bookViews>
  <sheets>
    <sheet name="Read Me" sheetId="1" r:id="rId1"/>
    <sheet name="Team Master" sheetId="2" r:id="rId2"/>
    <sheet name="Task Categories" sheetId="3" r:id="rId3"/>
    <sheet name="Daily Time Log" sheetId="4" r:id="rId4"/>
    <sheet name="Dashboard" sheetId="6" r:id="rId5"/>
    <sheet name="Weekly 1-1 Log" sheetId="5" r:id="rId6"/>
  </sheets>
  <definedNames>
    <definedName name="_xlnm._FilterDatabase" localSheetId="5" hidden="1">'Weekly 1-1 Log'!$A$5:$K$44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0" i="6" l="1"/>
  <c r="D80" i="6" s="1"/>
  <c r="C79" i="6"/>
  <c r="D79" i="6" s="1"/>
  <c r="C78" i="6"/>
  <c r="D78" i="6" s="1"/>
  <c r="C77" i="6"/>
  <c r="D77" i="6" s="1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C51" i="6"/>
  <c r="C50" i="6"/>
  <c r="I27" i="6"/>
  <c r="J27" i="6" s="1"/>
  <c r="K27" i="6" s="1"/>
  <c r="J26" i="6"/>
  <c r="K26" i="6" s="1"/>
  <c r="I26" i="6"/>
  <c r="I25" i="6"/>
  <c r="J25" i="6" s="1"/>
  <c r="K25" i="6" s="1"/>
  <c r="J24" i="6"/>
  <c r="K24" i="6" s="1"/>
  <c r="I24" i="6"/>
  <c r="I23" i="6"/>
  <c r="J23" i="6" s="1"/>
  <c r="K23" i="6" s="1"/>
  <c r="J22" i="6"/>
  <c r="K22" i="6" s="1"/>
  <c r="I22" i="6"/>
  <c r="I21" i="6"/>
  <c r="J21" i="6" s="1"/>
  <c r="K21" i="6" s="1"/>
  <c r="J20" i="6"/>
  <c r="K20" i="6" s="1"/>
  <c r="I20" i="6"/>
  <c r="I19" i="6"/>
  <c r="J19" i="6" s="1"/>
  <c r="K19" i="6" s="1"/>
  <c r="J18" i="6"/>
  <c r="K18" i="6" s="1"/>
  <c r="I18" i="6"/>
  <c r="I17" i="6"/>
  <c r="J17" i="6" s="1"/>
  <c r="K17" i="6" s="1"/>
  <c r="D17" i="6"/>
  <c r="F17" i="6" s="1"/>
  <c r="C17" i="6"/>
  <c r="B17" i="6"/>
  <c r="E17" i="6" s="1"/>
  <c r="J16" i="6"/>
  <c r="K16" i="6" s="1"/>
  <c r="I16" i="6"/>
  <c r="E16" i="6"/>
  <c r="C16" i="6"/>
  <c r="B16" i="6"/>
  <c r="D16" i="6" s="1"/>
  <c r="I15" i="6"/>
  <c r="J15" i="6" s="1"/>
  <c r="K15" i="6" s="1"/>
  <c r="D15" i="6"/>
  <c r="G15" i="6" s="1"/>
  <c r="C15" i="6"/>
  <c r="B15" i="6"/>
  <c r="E15" i="6" s="1"/>
  <c r="J14" i="6"/>
  <c r="K14" i="6" s="1"/>
  <c r="I14" i="6"/>
  <c r="E14" i="6"/>
  <c r="C14" i="6"/>
  <c r="B14" i="6"/>
  <c r="I13" i="6"/>
  <c r="J13" i="6" s="1"/>
  <c r="K13" i="6" s="1"/>
  <c r="D13" i="6"/>
  <c r="G13" i="6" s="1"/>
  <c r="C13" i="6"/>
  <c r="B13" i="6"/>
  <c r="E13" i="6" s="1"/>
  <c r="D9" i="6"/>
  <c r="B9" i="6"/>
  <c r="H9" i="6" s="1"/>
  <c r="F3" i="5"/>
  <c r="C3" i="5"/>
  <c r="H404" i="4"/>
  <c r="C404" i="4"/>
  <c r="H403" i="4"/>
  <c r="C403" i="4"/>
  <c r="H402" i="4"/>
  <c r="C402" i="4"/>
  <c r="H401" i="4"/>
  <c r="C401" i="4"/>
  <c r="H400" i="4"/>
  <c r="C400" i="4"/>
  <c r="H399" i="4"/>
  <c r="C399" i="4"/>
  <c r="H398" i="4"/>
  <c r="C398" i="4"/>
  <c r="H397" i="4"/>
  <c r="C397" i="4"/>
  <c r="H396" i="4"/>
  <c r="C396" i="4"/>
  <c r="H395" i="4"/>
  <c r="C395" i="4"/>
  <c r="H394" i="4"/>
  <c r="C394" i="4"/>
  <c r="H393" i="4"/>
  <c r="C393" i="4"/>
  <c r="H392" i="4"/>
  <c r="C392" i="4"/>
  <c r="H391" i="4"/>
  <c r="C391" i="4"/>
  <c r="H390" i="4"/>
  <c r="C390" i="4"/>
  <c r="H389" i="4"/>
  <c r="C389" i="4"/>
  <c r="H388" i="4"/>
  <c r="C388" i="4"/>
  <c r="H387" i="4"/>
  <c r="C387" i="4"/>
  <c r="H386" i="4"/>
  <c r="C386" i="4"/>
  <c r="H385" i="4"/>
  <c r="C385" i="4"/>
  <c r="H384" i="4"/>
  <c r="C384" i="4"/>
  <c r="H383" i="4"/>
  <c r="C383" i="4"/>
  <c r="H382" i="4"/>
  <c r="C382" i="4"/>
  <c r="H381" i="4"/>
  <c r="C381" i="4"/>
  <c r="H380" i="4"/>
  <c r="C380" i="4"/>
  <c r="H379" i="4"/>
  <c r="C379" i="4"/>
  <c r="H378" i="4"/>
  <c r="C378" i="4"/>
  <c r="H377" i="4"/>
  <c r="C377" i="4"/>
  <c r="H376" i="4"/>
  <c r="C376" i="4"/>
  <c r="H375" i="4"/>
  <c r="C375" i="4"/>
  <c r="H374" i="4"/>
  <c r="C374" i="4"/>
  <c r="H373" i="4"/>
  <c r="C373" i="4"/>
  <c r="H372" i="4"/>
  <c r="C372" i="4"/>
  <c r="H371" i="4"/>
  <c r="C371" i="4"/>
  <c r="H370" i="4"/>
  <c r="C370" i="4"/>
  <c r="H369" i="4"/>
  <c r="C369" i="4"/>
  <c r="H368" i="4"/>
  <c r="C368" i="4"/>
  <c r="H367" i="4"/>
  <c r="C367" i="4"/>
  <c r="H366" i="4"/>
  <c r="C366" i="4"/>
  <c r="H365" i="4"/>
  <c r="C365" i="4"/>
  <c r="H364" i="4"/>
  <c r="C364" i="4"/>
  <c r="H363" i="4"/>
  <c r="C363" i="4"/>
  <c r="H362" i="4"/>
  <c r="C362" i="4"/>
  <c r="H361" i="4"/>
  <c r="C361" i="4"/>
  <c r="H360" i="4"/>
  <c r="C360" i="4"/>
  <c r="H359" i="4"/>
  <c r="C359" i="4"/>
  <c r="H358" i="4"/>
  <c r="C358" i="4"/>
  <c r="H357" i="4"/>
  <c r="C357" i="4"/>
  <c r="H356" i="4"/>
  <c r="C356" i="4"/>
  <c r="H355" i="4"/>
  <c r="C355" i="4"/>
  <c r="H354" i="4"/>
  <c r="C354" i="4"/>
  <c r="H353" i="4"/>
  <c r="C353" i="4"/>
  <c r="H352" i="4"/>
  <c r="C352" i="4"/>
  <c r="H351" i="4"/>
  <c r="C351" i="4"/>
  <c r="H350" i="4"/>
  <c r="C350" i="4"/>
  <c r="H349" i="4"/>
  <c r="C349" i="4"/>
  <c r="H348" i="4"/>
  <c r="C348" i="4"/>
  <c r="H347" i="4"/>
  <c r="C347" i="4"/>
  <c r="H346" i="4"/>
  <c r="C346" i="4"/>
  <c r="H345" i="4"/>
  <c r="C345" i="4"/>
  <c r="H344" i="4"/>
  <c r="C344" i="4"/>
  <c r="H343" i="4"/>
  <c r="C343" i="4"/>
  <c r="H342" i="4"/>
  <c r="C342" i="4"/>
  <c r="H341" i="4"/>
  <c r="C341" i="4"/>
  <c r="H340" i="4"/>
  <c r="C340" i="4"/>
  <c r="H339" i="4"/>
  <c r="C339" i="4"/>
  <c r="H338" i="4"/>
  <c r="C338" i="4"/>
  <c r="H337" i="4"/>
  <c r="C337" i="4"/>
  <c r="H336" i="4"/>
  <c r="C336" i="4"/>
  <c r="H335" i="4"/>
  <c r="C335" i="4"/>
  <c r="H334" i="4"/>
  <c r="C334" i="4"/>
  <c r="H333" i="4"/>
  <c r="C333" i="4"/>
  <c r="H332" i="4"/>
  <c r="C332" i="4"/>
  <c r="H331" i="4"/>
  <c r="C331" i="4"/>
  <c r="H330" i="4"/>
  <c r="C330" i="4"/>
  <c r="H329" i="4"/>
  <c r="C329" i="4"/>
  <c r="H328" i="4"/>
  <c r="C328" i="4"/>
  <c r="H327" i="4"/>
  <c r="C327" i="4"/>
  <c r="H326" i="4"/>
  <c r="C326" i="4"/>
  <c r="H325" i="4"/>
  <c r="C325" i="4"/>
  <c r="H324" i="4"/>
  <c r="C324" i="4"/>
  <c r="H323" i="4"/>
  <c r="C323" i="4"/>
  <c r="H322" i="4"/>
  <c r="C322" i="4"/>
  <c r="H321" i="4"/>
  <c r="C321" i="4"/>
  <c r="H320" i="4"/>
  <c r="C320" i="4"/>
  <c r="H319" i="4"/>
  <c r="C319" i="4"/>
  <c r="H318" i="4"/>
  <c r="C318" i="4"/>
  <c r="H317" i="4"/>
  <c r="C317" i="4"/>
  <c r="H316" i="4"/>
  <c r="C316" i="4"/>
  <c r="H315" i="4"/>
  <c r="C315" i="4"/>
  <c r="H314" i="4"/>
  <c r="C314" i="4"/>
  <c r="H313" i="4"/>
  <c r="C313" i="4"/>
  <c r="H312" i="4"/>
  <c r="C312" i="4"/>
  <c r="H311" i="4"/>
  <c r="C311" i="4"/>
  <c r="H310" i="4"/>
  <c r="C310" i="4"/>
  <c r="H309" i="4"/>
  <c r="C309" i="4"/>
  <c r="H308" i="4"/>
  <c r="C308" i="4"/>
  <c r="H307" i="4"/>
  <c r="C307" i="4"/>
  <c r="H306" i="4"/>
  <c r="C306" i="4"/>
  <c r="H305" i="4"/>
  <c r="C305" i="4"/>
  <c r="H304" i="4"/>
  <c r="C304" i="4"/>
  <c r="H303" i="4"/>
  <c r="C303" i="4"/>
  <c r="H302" i="4"/>
  <c r="C302" i="4"/>
  <c r="H301" i="4"/>
  <c r="C301" i="4"/>
  <c r="H300" i="4"/>
  <c r="C300" i="4"/>
  <c r="H299" i="4"/>
  <c r="C299" i="4"/>
  <c r="H298" i="4"/>
  <c r="C298" i="4"/>
  <c r="H297" i="4"/>
  <c r="C297" i="4"/>
  <c r="H296" i="4"/>
  <c r="C296" i="4"/>
  <c r="H295" i="4"/>
  <c r="C295" i="4"/>
  <c r="H294" i="4"/>
  <c r="C294" i="4"/>
  <c r="H293" i="4"/>
  <c r="C293" i="4"/>
  <c r="H292" i="4"/>
  <c r="C292" i="4"/>
  <c r="H291" i="4"/>
  <c r="C291" i="4"/>
  <c r="H290" i="4"/>
  <c r="C290" i="4"/>
  <c r="H289" i="4"/>
  <c r="C289" i="4"/>
  <c r="H288" i="4"/>
  <c r="C288" i="4"/>
  <c r="H287" i="4"/>
  <c r="C287" i="4"/>
  <c r="H286" i="4"/>
  <c r="C286" i="4"/>
  <c r="H285" i="4"/>
  <c r="C285" i="4"/>
  <c r="H284" i="4"/>
  <c r="C284" i="4"/>
  <c r="H283" i="4"/>
  <c r="C283" i="4"/>
  <c r="H282" i="4"/>
  <c r="C282" i="4"/>
  <c r="H281" i="4"/>
  <c r="C281" i="4"/>
  <c r="H280" i="4"/>
  <c r="C280" i="4"/>
  <c r="H279" i="4"/>
  <c r="C279" i="4"/>
  <c r="H278" i="4"/>
  <c r="C278" i="4"/>
  <c r="H277" i="4"/>
  <c r="C277" i="4"/>
  <c r="H276" i="4"/>
  <c r="C276" i="4"/>
  <c r="H275" i="4"/>
  <c r="C275" i="4"/>
  <c r="H274" i="4"/>
  <c r="C274" i="4"/>
  <c r="H273" i="4"/>
  <c r="C273" i="4"/>
  <c r="H272" i="4"/>
  <c r="C272" i="4"/>
  <c r="H271" i="4"/>
  <c r="C271" i="4"/>
  <c r="H270" i="4"/>
  <c r="C270" i="4"/>
  <c r="H269" i="4"/>
  <c r="C269" i="4"/>
  <c r="H268" i="4"/>
  <c r="C268" i="4"/>
  <c r="H267" i="4"/>
  <c r="C267" i="4"/>
  <c r="H266" i="4"/>
  <c r="C266" i="4"/>
  <c r="H265" i="4"/>
  <c r="C265" i="4"/>
  <c r="H264" i="4"/>
  <c r="C264" i="4"/>
  <c r="H263" i="4"/>
  <c r="C263" i="4"/>
  <c r="H262" i="4"/>
  <c r="C262" i="4"/>
  <c r="H261" i="4"/>
  <c r="C261" i="4"/>
  <c r="H260" i="4"/>
  <c r="C260" i="4"/>
  <c r="H259" i="4"/>
  <c r="C259" i="4"/>
  <c r="H258" i="4"/>
  <c r="C258" i="4"/>
  <c r="H257" i="4"/>
  <c r="C257" i="4"/>
  <c r="H256" i="4"/>
  <c r="C256" i="4"/>
  <c r="H255" i="4"/>
  <c r="C255" i="4"/>
  <c r="H254" i="4"/>
  <c r="C254" i="4"/>
  <c r="H253" i="4"/>
  <c r="C253" i="4"/>
  <c r="H252" i="4"/>
  <c r="C252" i="4"/>
  <c r="H251" i="4"/>
  <c r="C251" i="4"/>
  <c r="H250" i="4"/>
  <c r="C250" i="4"/>
  <c r="H249" i="4"/>
  <c r="C249" i="4"/>
  <c r="H248" i="4"/>
  <c r="C248" i="4"/>
  <c r="H247" i="4"/>
  <c r="C247" i="4"/>
  <c r="H246" i="4"/>
  <c r="C246" i="4"/>
  <c r="H245" i="4"/>
  <c r="C245" i="4"/>
  <c r="H244" i="4"/>
  <c r="C244" i="4"/>
  <c r="H243" i="4"/>
  <c r="C243" i="4"/>
  <c r="H242" i="4"/>
  <c r="C242" i="4"/>
  <c r="H241" i="4"/>
  <c r="C241" i="4"/>
  <c r="H240" i="4"/>
  <c r="C240" i="4"/>
  <c r="H239" i="4"/>
  <c r="C239" i="4"/>
  <c r="H238" i="4"/>
  <c r="C238" i="4"/>
  <c r="H237" i="4"/>
  <c r="C237" i="4"/>
  <c r="H236" i="4"/>
  <c r="C236" i="4"/>
  <c r="H235" i="4"/>
  <c r="C235" i="4"/>
  <c r="H234" i="4"/>
  <c r="C234" i="4"/>
  <c r="H233" i="4"/>
  <c r="C233" i="4"/>
  <c r="H232" i="4"/>
  <c r="C232" i="4"/>
  <c r="H231" i="4"/>
  <c r="C231" i="4"/>
  <c r="H230" i="4"/>
  <c r="C230" i="4"/>
  <c r="H229" i="4"/>
  <c r="C229" i="4"/>
  <c r="H228" i="4"/>
  <c r="C228" i="4"/>
  <c r="H227" i="4"/>
  <c r="C227" i="4"/>
  <c r="H226" i="4"/>
  <c r="C226" i="4"/>
  <c r="H225" i="4"/>
  <c r="C225" i="4"/>
  <c r="H224" i="4"/>
  <c r="C224" i="4"/>
  <c r="H223" i="4"/>
  <c r="C223" i="4"/>
  <c r="H222" i="4"/>
  <c r="C222" i="4"/>
  <c r="H221" i="4"/>
  <c r="C221" i="4"/>
  <c r="H220" i="4"/>
  <c r="C220" i="4"/>
  <c r="H219" i="4"/>
  <c r="C219" i="4"/>
  <c r="H218" i="4"/>
  <c r="C218" i="4"/>
  <c r="H217" i="4"/>
  <c r="C217" i="4"/>
  <c r="H216" i="4"/>
  <c r="C216" i="4"/>
  <c r="H215" i="4"/>
  <c r="C215" i="4"/>
  <c r="H214" i="4"/>
  <c r="C214" i="4"/>
  <c r="H213" i="4"/>
  <c r="C213" i="4"/>
  <c r="H212" i="4"/>
  <c r="C212" i="4"/>
  <c r="H211" i="4"/>
  <c r="C211" i="4"/>
  <c r="H210" i="4"/>
  <c r="C210" i="4"/>
  <c r="H209" i="4"/>
  <c r="C209" i="4"/>
  <c r="H208" i="4"/>
  <c r="C208" i="4"/>
  <c r="H207" i="4"/>
  <c r="C207" i="4"/>
  <c r="H206" i="4"/>
  <c r="C206" i="4"/>
  <c r="H205" i="4"/>
  <c r="C205" i="4"/>
  <c r="H204" i="4"/>
  <c r="C204" i="4"/>
  <c r="H203" i="4"/>
  <c r="C203" i="4"/>
  <c r="H202" i="4"/>
  <c r="C202" i="4"/>
  <c r="H201" i="4"/>
  <c r="C201" i="4"/>
  <c r="H200" i="4"/>
  <c r="C200" i="4"/>
  <c r="H199" i="4"/>
  <c r="C199" i="4"/>
  <c r="H198" i="4"/>
  <c r="C198" i="4"/>
  <c r="H197" i="4"/>
  <c r="C197" i="4"/>
  <c r="H196" i="4"/>
  <c r="C196" i="4"/>
  <c r="H195" i="4"/>
  <c r="C195" i="4"/>
  <c r="H194" i="4"/>
  <c r="C194" i="4"/>
  <c r="H193" i="4"/>
  <c r="C193" i="4"/>
  <c r="H192" i="4"/>
  <c r="C192" i="4"/>
  <c r="H191" i="4"/>
  <c r="C191" i="4"/>
  <c r="H190" i="4"/>
  <c r="C190" i="4"/>
  <c r="H189" i="4"/>
  <c r="C189" i="4"/>
  <c r="H188" i="4"/>
  <c r="C188" i="4"/>
  <c r="H187" i="4"/>
  <c r="C187" i="4"/>
  <c r="H186" i="4"/>
  <c r="C186" i="4"/>
  <c r="H185" i="4"/>
  <c r="C185" i="4"/>
  <c r="H184" i="4"/>
  <c r="C184" i="4"/>
  <c r="H183" i="4"/>
  <c r="C183" i="4"/>
  <c r="H182" i="4"/>
  <c r="C182" i="4"/>
  <c r="H181" i="4"/>
  <c r="C181" i="4"/>
  <c r="H180" i="4"/>
  <c r="C180" i="4"/>
  <c r="H179" i="4"/>
  <c r="C179" i="4"/>
  <c r="H178" i="4"/>
  <c r="C178" i="4"/>
  <c r="H177" i="4"/>
  <c r="C177" i="4"/>
  <c r="H176" i="4"/>
  <c r="C176" i="4"/>
  <c r="H175" i="4"/>
  <c r="C175" i="4"/>
  <c r="H174" i="4"/>
  <c r="C174" i="4"/>
  <c r="H173" i="4"/>
  <c r="C173" i="4"/>
  <c r="H172" i="4"/>
  <c r="C172" i="4"/>
  <c r="H171" i="4"/>
  <c r="C171" i="4"/>
  <c r="H170" i="4"/>
  <c r="C170" i="4"/>
  <c r="H169" i="4"/>
  <c r="C169" i="4"/>
  <c r="H168" i="4"/>
  <c r="C168" i="4"/>
  <c r="H167" i="4"/>
  <c r="C167" i="4"/>
  <c r="H166" i="4"/>
  <c r="C166" i="4"/>
  <c r="H165" i="4"/>
  <c r="C165" i="4"/>
  <c r="H164" i="4"/>
  <c r="C164" i="4"/>
  <c r="H163" i="4"/>
  <c r="C163" i="4"/>
  <c r="H162" i="4"/>
  <c r="C162" i="4"/>
  <c r="H161" i="4"/>
  <c r="C161" i="4"/>
  <c r="H160" i="4"/>
  <c r="C160" i="4"/>
  <c r="H159" i="4"/>
  <c r="C159" i="4"/>
  <c r="H158" i="4"/>
  <c r="C158" i="4"/>
  <c r="H157" i="4"/>
  <c r="C157" i="4"/>
  <c r="H156" i="4"/>
  <c r="C156" i="4"/>
  <c r="H155" i="4"/>
  <c r="C155" i="4"/>
  <c r="H154" i="4"/>
  <c r="C154" i="4"/>
  <c r="H153" i="4"/>
  <c r="C153" i="4"/>
  <c r="H152" i="4"/>
  <c r="C152" i="4"/>
  <c r="H151" i="4"/>
  <c r="C151" i="4"/>
  <c r="H150" i="4"/>
  <c r="C150" i="4"/>
  <c r="H149" i="4"/>
  <c r="C149" i="4"/>
  <c r="H148" i="4"/>
  <c r="C148" i="4"/>
  <c r="H147" i="4"/>
  <c r="C147" i="4"/>
  <c r="H146" i="4"/>
  <c r="C146" i="4"/>
  <c r="H145" i="4"/>
  <c r="C145" i="4"/>
  <c r="H144" i="4"/>
  <c r="C144" i="4"/>
  <c r="H143" i="4"/>
  <c r="C143" i="4"/>
  <c r="H142" i="4"/>
  <c r="C142" i="4"/>
  <c r="H141" i="4"/>
  <c r="C141" i="4"/>
  <c r="H140" i="4"/>
  <c r="C140" i="4"/>
  <c r="H139" i="4"/>
  <c r="C139" i="4"/>
  <c r="H138" i="4"/>
  <c r="C138" i="4"/>
  <c r="H137" i="4"/>
  <c r="C137" i="4"/>
  <c r="H136" i="4"/>
  <c r="C136" i="4"/>
  <c r="H135" i="4"/>
  <c r="C135" i="4"/>
  <c r="H134" i="4"/>
  <c r="C134" i="4"/>
  <c r="H133" i="4"/>
  <c r="C133" i="4"/>
  <c r="H132" i="4"/>
  <c r="C132" i="4"/>
  <c r="H131" i="4"/>
  <c r="C131" i="4"/>
  <c r="H130" i="4"/>
  <c r="C130" i="4"/>
  <c r="H129" i="4"/>
  <c r="C129" i="4"/>
  <c r="H128" i="4"/>
  <c r="C128" i="4"/>
  <c r="H127" i="4"/>
  <c r="C127" i="4"/>
  <c r="H126" i="4"/>
  <c r="C126" i="4"/>
  <c r="H125" i="4"/>
  <c r="C125" i="4"/>
  <c r="H124" i="4"/>
  <c r="C124" i="4"/>
  <c r="H123" i="4"/>
  <c r="C123" i="4"/>
  <c r="H122" i="4"/>
  <c r="C122" i="4"/>
  <c r="H121" i="4"/>
  <c r="C121" i="4"/>
  <c r="H120" i="4"/>
  <c r="C120" i="4"/>
  <c r="H119" i="4"/>
  <c r="C119" i="4"/>
  <c r="H118" i="4"/>
  <c r="C118" i="4"/>
  <c r="H117" i="4"/>
  <c r="C117" i="4"/>
  <c r="H116" i="4"/>
  <c r="C116" i="4"/>
  <c r="H115" i="4"/>
  <c r="C115" i="4"/>
  <c r="H114" i="4"/>
  <c r="C114" i="4"/>
  <c r="H113" i="4"/>
  <c r="C113" i="4"/>
  <c r="H112" i="4"/>
  <c r="C112" i="4"/>
  <c r="H111" i="4"/>
  <c r="C111" i="4"/>
  <c r="H110" i="4"/>
  <c r="C110" i="4"/>
  <c r="H109" i="4"/>
  <c r="C109" i="4"/>
  <c r="H108" i="4"/>
  <c r="C108" i="4"/>
  <c r="H107" i="4"/>
  <c r="C107" i="4"/>
  <c r="H106" i="4"/>
  <c r="C106" i="4"/>
  <c r="H105" i="4"/>
  <c r="C105" i="4"/>
  <c r="H104" i="4"/>
  <c r="C104" i="4"/>
  <c r="H103" i="4"/>
  <c r="C103" i="4"/>
  <c r="H102" i="4"/>
  <c r="C102" i="4"/>
  <c r="H101" i="4"/>
  <c r="C101" i="4"/>
  <c r="H100" i="4"/>
  <c r="C100" i="4"/>
  <c r="H99" i="4"/>
  <c r="C99" i="4"/>
  <c r="H98" i="4"/>
  <c r="C98" i="4"/>
  <c r="H97" i="4"/>
  <c r="C97" i="4"/>
  <c r="H96" i="4"/>
  <c r="C96" i="4"/>
  <c r="H95" i="4"/>
  <c r="C95" i="4"/>
  <c r="H94" i="4"/>
  <c r="C94" i="4"/>
  <c r="H93" i="4"/>
  <c r="C93" i="4"/>
  <c r="H92" i="4"/>
  <c r="C92" i="4"/>
  <c r="H91" i="4"/>
  <c r="C91" i="4"/>
  <c r="H90" i="4"/>
  <c r="C90" i="4"/>
  <c r="H89" i="4"/>
  <c r="C89" i="4"/>
  <c r="H88" i="4"/>
  <c r="C88" i="4"/>
  <c r="H87" i="4"/>
  <c r="C87" i="4"/>
  <c r="H86" i="4"/>
  <c r="C86" i="4"/>
  <c r="H85" i="4"/>
  <c r="C85" i="4"/>
  <c r="H84" i="4"/>
  <c r="C84" i="4"/>
  <c r="H83" i="4"/>
  <c r="C83" i="4"/>
  <c r="H82" i="4"/>
  <c r="C82" i="4"/>
  <c r="H81" i="4"/>
  <c r="C81" i="4"/>
  <c r="H80" i="4"/>
  <c r="C80" i="4"/>
  <c r="H79" i="4"/>
  <c r="C79" i="4"/>
  <c r="H78" i="4"/>
  <c r="C78" i="4"/>
  <c r="H77" i="4"/>
  <c r="C77" i="4"/>
  <c r="H76" i="4"/>
  <c r="C76" i="4"/>
  <c r="H75" i="4"/>
  <c r="C75" i="4"/>
  <c r="H74" i="4"/>
  <c r="C74" i="4"/>
  <c r="H73" i="4"/>
  <c r="C73" i="4"/>
  <c r="H72" i="4"/>
  <c r="C72" i="4"/>
  <c r="H71" i="4"/>
  <c r="C71" i="4"/>
  <c r="H70" i="4"/>
  <c r="C70" i="4"/>
  <c r="H69" i="4"/>
  <c r="C69" i="4"/>
  <c r="H68" i="4"/>
  <c r="C68" i="4"/>
  <c r="H67" i="4"/>
  <c r="C67" i="4"/>
  <c r="H66" i="4"/>
  <c r="C66" i="4"/>
  <c r="H65" i="4"/>
  <c r="C65" i="4"/>
  <c r="H64" i="4"/>
  <c r="C64" i="4"/>
  <c r="H63" i="4"/>
  <c r="C63" i="4"/>
  <c r="H62" i="4"/>
  <c r="C62" i="4"/>
  <c r="H61" i="4"/>
  <c r="C61" i="4"/>
  <c r="H60" i="4"/>
  <c r="C60" i="4"/>
  <c r="H59" i="4"/>
  <c r="C59" i="4"/>
  <c r="H58" i="4"/>
  <c r="C58" i="4"/>
  <c r="H57" i="4"/>
  <c r="C57" i="4"/>
  <c r="H56" i="4"/>
  <c r="C56" i="4"/>
  <c r="H55" i="4"/>
  <c r="C55" i="4"/>
  <c r="H54" i="4"/>
  <c r="C54" i="4"/>
  <c r="H53" i="4"/>
  <c r="C53" i="4"/>
  <c r="H52" i="4"/>
  <c r="C52" i="4"/>
  <c r="H51" i="4"/>
  <c r="C51" i="4"/>
  <c r="H50" i="4"/>
  <c r="C50" i="4"/>
  <c r="H49" i="4"/>
  <c r="C49" i="4"/>
  <c r="H48" i="4"/>
  <c r="C48" i="4"/>
  <c r="H47" i="4"/>
  <c r="C47" i="4"/>
  <c r="H46" i="4"/>
  <c r="C46" i="4"/>
  <c r="H45" i="4"/>
  <c r="C45" i="4"/>
  <c r="H44" i="4"/>
  <c r="C44" i="4"/>
  <c r="H43" i="4"/>
  <c r="C43" i="4"/>
  <c r="H42" i="4"/>
  <c r="C42" i="4"/>
  <c r="H41" i="4"/>
  <c r="C41" i="4"/>
  <c r="H40" i="4"/>
  <c r="C40" i="4"/>
  <c r="H39" i="4"/>
  <c r="C39" i="4"/>
  <c r="H38" i="4"/>
  <c r="C38" i="4"/>
  <c r="H37" i="4"/>
  <c r="C37" i="4"/>
  <c r="H36" i="4"/>
  <c r="C36" i="4"/>
  <c r="H35" i="4"/>
  <c r="C35" i="4"/>
  <c r="H34" i="4"/>
  <c r="C34" i="4"/>
  <c r="H33" i="4"/>
  <c r="C33" i="4"/>
  <c r="H32" i="4"/>
  <c r="C32" i="4"/>
  <c r="H31" i="4"/>
  <c r="C31" i="4"/>
  <c r="H30" i="4"/>
  <c r="C30" i="4"/>
  <c r="H29" i="4"/>
  <c r="C29" i="4"/>
  <c r="H28" i="4"/>
  <c r="C28" i="4"/>
  <c r="H27" i="4"/>
  <c r="C27" i="4"/>
  <c r="H26" i="4"/>
  <c r="C26" i="4"/>
  <c r="H25" i="4"/>
  <c r="C25" i="4"/>
  <c r="H24" i="4"/>
  <c r="C24" i="4"/>
  <c r="H23" i="4"/>
  <c r="C23" i="4"/>
  <c r="H22" i="4"/>
  <c r="C22" i="4"/>
  <c r="H21" i="4"/>
  <c r="C21" i="4"/>
  <c r="H20" i="4"/>
  <c r="C20" i="4"/>
  <c r="H19" i="4"/>
  <c r="C19" i="4"/>
  <c r="H18" i="4"/>
  <c r="C18" i="4"/>
  <c r="H17" i="4"/>
  <c r="C17" i="4"/>
  <c r="H16" i="4"/>
  <c r="C16" i="4"/>
  <c r="H15" i="4"/>
  <c r="C15" i="4"/>
  <c r="H14" i="4"/>
  <c r="C14" i="4"/>
  <c r="H13" i="4"/>
  <c r="C13" i="4"/>
  <c r="H12" i="4"/>
  <c r="C12" i="4"/>
  <c r="H11" i="4"/>
  <c r="C11" i="4"/>
  <c r="H10" i="4"/>
  <c r="C10" i="4"/>
  <c r="H9" i="4"/>
  <c r="D51" i="6" s="1"/>
  <c r="C9" i="4"/>
  <c r="H8" i="4"/>
  <c r="C8" i="4"/>
  <c r="H7" i="4"/>
  <c r="C7" i="4"/>
  <c r="H6" i="4"/>
  <c r="C6" i="4"/>
  <c r="H5" i="4"/>
  <c r="D50" i="6" s="1"/>
  <c r="C5" i="4"/>
  <c r="H4" i="4"/>
  <c r="C4" i="4"/>
  <c r="G16" i="6" l="1"/>
  <c r="F16" i="6"/>
  <c r="F13" i="6"/>
  <c r="F9" i="6"/>
  <c r="F15" i="6"/>
  <c r="G17" i="6"/>
  <c r="D14" i="6"/>
  <c r="F14" i="6" l="1"/>
  <c r="G14" i="6"/>
</calcChain>
</file>

<file path=xl/sharedStrings.xml><?xml version="1.0" encoding="utf-8"?>
<sst xmlns="http://schemas.openxmlformats.org/spreadsheetml/2006/main" count="280" uniqueCount="182">
  <si>
    <t>IT Team — Daily Time Utilization Tracker</t>
  </si>
  <si>
    <t>Manager dashboard to track how each team member's day is spent across tasks</t>
  </si>
  <si>
    <t>How this workbook is organised</t>
  </si>
  <si>
    <t>1. Team Master   List your 5 team members and their roles here. Replace the sample rows with real names. This list feeds the dropdowns in the Daily Time Log sheet.</t>
  </si>
  <si>
    <t>2. Task Categories   Standard list of IT activities (server maintenance, ticketing, procurement, etc.). Add/remove categories to match how your team actually works.</t>
  </si>
  <si>
    <t>3. Daily Time Log   Each team member (or you, on their behalf) logs one row per task per day: date, name, category, description, start/end time. Hours are calculated automatically.</t>
  </si>
  <si>
    <t>4. Dashboard   Set the Report Month/Year and Working Days at the top. All totals, utilization %, and charts recalculate automatically from the Daily Time Log.</t>
  </si>
  <si>
    <t>How to use it day to day</t>
  </si>
  <si>
    <t>Option A — Self-logging   Share the file (or a shared copy) and have each engineer add their own rows in Daily Time Log at the end of the day, or across the day as tasks change.</t>
  </si>
  <si>
    <t>Option B — Manager-logged   If your team uses a ticketing tool, you (or a helpdesk export) can paste task/time data into Daily Time Log instead.</t>
  </si>
  <si>
    <t>Colour legend</t>
  </si>
  <si>
    <t>Yellow cells   Cells you are meant to type into (inputs like Report Month, Working Days).</t>
  </si>
  <si>
    <t>Blue text   Sample/placeholder values — replace with your real data.</t>
  </si>
  <si>
    <t>Grey italic rows   Example rows showing the expected format — delete once you understand the layout, or leave them and just start entering below.</t>
  </si>
  <si>
    <t>Tips</t>
  </si>
  <si>
    <t>•  Keep one row per task, not per employee-day — if someone does 4 different things in a day, that's 4 rows.</t>
  </si>
  <si>
    <t>•  Use the Task Category dropdown consistently — the dashboard groups by exact category text.</t>
  </si>
  <si>
    <t>•  The 'Working Days in Month' cell on the Dashboard drives utilization % — update it monthly (weekdays minus holidays/leave).</t>
  </si>
  <si>
    <t>Replace the blue 'Enter Name' cells with your real team members. Do not delete rows — add more below row 7 if your team grows (and extend the named ranges).</t>
  </si>
  <si>
    <t>Employee ID</t>
  </si>
  <si>
    <t>Employee Name</t>
  </si>
  <si>
    <t>Role</t>
  </si>
  <si>
    <t>Email (optional)</t>
  </si>
  <si>
    <t>Date Joined (optional)</t>
  </si>
  <si>
    <t>EMP001</t>
  </si>
  <si>
    <t>Aftab Shaikh</t>
  </si>
  <si>
    <t>Linux Administrator</t>
  </si>
  <si>
    <t>name@company.com</t>
  </si>
  <si>
    <t>EMP002</t>
  </si>
  <si>
    <t>Shakti Thakur</t>
  </si>
  <si>
    <t>Windows and Network Administrator</t>
  </si>
  <si>
    <t>EMP003</t>
  </si>
  <si>
    <t>Soheb Shaikh</t>
  </si>
  <si>
    <t>System Administrator</t>
  </si>
  <si>
    <t>EMP004</t>
  </si>
  <si>
    <t>Shubham Hawdiya</t>
  </si>
  <si>
    <t>Desktop Support Engineer</t>
  </si>
  <si>
    <t>EMP005</t>
  </si>
  <si>
    <t>Paras Lodaya</t>
  </si>
  <si>
    <t>System Administrator (Purchase, Repair, etc.)</t>
  </si>
  <si>
    <t>Standard task categories — edit this list to match your team's real work. The Daily Time Log dropdown pulls from column A below.</t>
  </si>
  <si>
    <t>Task Category</t>
  </si>
  <si>
    <t>Typical Roles</t>
  </si>
  <si>
    <t>Server Maintenance</t>
  </si>
  <si>
    <t>Linux Admin, System Admin</t>
  </si>
  <si>
    <t>Network Monitoring / Troubleshooting</t>
  </si>
  <si>
    <t>Windows &amp; Network Admin</t>
  </si>
  <si>
    <t>Patch Management / Updates</t>
  </si>
  <si>
    <t>Linux Admin, Windows &amp; Network Admin</t>
  </si>
  <si>
    <t>Backup &amp; Recovery</t>
  </si>
  <si>
    <t>User / Desktop Support (Tickets)</t>
  </si>
  <si>
    <t>Hardware Repair &amp; Installation</t>
  </si>
  <si>
    <t>Desktop Support Engineer, System Admin (Purchase/Repair)</t>
  </si>
  <si>
    <t>Procurement / Purchase Coordination</t>
  </si>
  <si>
    <t>System Admin (Purchase/Repair)</t>
  </si>
  <si>
    <t>Vendor Coordination</t>
  </si>
  <si>
    <t>Security / Antivirus Management</t>
  </si>
  <si>
    <t>All</t>
  </si>
  <si>
    <t>Active Directory / User Management</t>
  </si>
  <si>
    <t>Windows &amp; Network Admin, System Admin</t>
  </si>
  <si>
    <t>Documentation / SOP Updates</t>
  </si>
  <si>
    <t>Meetings / Reporting</t>
  </si>
  <si>
    <t>Email / Admin Tasks</t>
  </si>
  <si>
    <t>Training / Self-learning</t>
  </si>
  <si>
    <t>Other / Miscellaneous</t>
  </si>
  <si>
    <t>Daily Time Log — one row per task. Times are 24-hr (e.g. 09:30, 14:00). Hours Spent calculates automatically.</t>
  </si>
  <si>
    <t>Date</t>
  </si>
  <si>
    <t>Task Description</t>
  </si>
  <si>
    <t>Start Time</t>
  </si>
  <si>
    <t>End Time</t>
  </si>
  <si>
    <t>Hours Spent</t>
  </si>
  <si>
    <t>Status</t>
  </si>
  <si>
    <t>Remarks</t>
  </si>
  <si>
    <t>Enter Name 1</t>
  </si>
  <si>
    <t>EXAMPLE — Monthly patch update on prod Linux servers</t>
  </si>
  <si>
    <t>09:30</t>
  </si>
  <si>
    <t>11:00</t>
  </si>
  <si>
    <t>Completed</t>
  </si>
  <si>
    <t>Sample row — delete or overwrite</t>
  </si>
  <si>
    <t>Enter Name 2</t>
  </si>
  <si>
    <t>EXAMPLE — WAN link flapping investigation</t>
  </si>
  <si>
    <t>09:00</t>
  </si>
  <si>
    <t>10:15</t>
  </si>
  <si>
    <t>Enter Name 4</t>
  </si>
  <si>
    <t>EXAMPLE — Laptop OS reinstall for Finance user</t>
  </si>
  <si>
    <t>09:15</t>
  </si>
  <si>
    <t>11:45</t>
  </si>
  <si>
    <t>Enter Name 5</t>
  </si>
  <si>
    <t>EXAMPLE — Vendor quotes for new switches</t>
  </si>
  <si>
    <t>10:00</t>
  </si>
  <si>
    <t>12:30</t>
  </si>
  <si>
    <t>In Progress</t>
  </si>
  <si>
    <t>Enter Name 3</t>
  </si>
  <si>
    <t>EXAMPLE — Verify overnight backup job</t>
  </si>
  <si>
    <t>09:45</t>
  </si>
  <si>
    <t>EXAMPLE — Daily standup + status report</t>
  </si>
  <si>
    <t>17:00</t>
  </si>
  <si>
    <t>17:30</t>
  </si>
  <si>
    <t>IT Team — Time Utilization Dashboard</t>
  </si>
  <si>
    <t>All figures pull automatically from the Daily Time Log sheet for the selected month.</t>
  </si>
  <si>
    <t>Report Month (1-12):</t>
  </si>
  <si>
    <t>Report Year:</t>
  </si>
  <si>
    <t>Working Days in Month:</t>
  </si>
  <si>
    <t>Standard Hours / Day:</t>
  </si>
  <si>
    <t>Total Hours Logged (Month)</t>
  </si>
  <si>
    <t>Total Tasks Logged (Month)</t>
  </si>
  <si>
    <t>Avg Hours / Person / Day</t>
  </si>
  <si>
    <t>Team Utilization %</t>
  </si>
  <si>
    <t>Hours by Employee</t>
  </si>
  <si>
    <t>Hours by Task Category</t>
  </si>
  <si>
    <t>Total Hours</t>
  </si>
  <si>
    <t>Tasks Logged</t>
  </si>
  <si>
    <t>Avg Hrs/Day</t>
  </si>
  <si>
    <t>Utilization %</t>
  </si>
  <si>
    <t>% of Total</t>
  </si>
  <si>
    <t>Daily Hours Trend (selected month)</t>
  </si>
  <si>
    <t>Day</t>
  </si>
  <si>
    <t>Weekly 1:1 / Team Meeting Log</t>
  </si>
  <si>
    <t>One row per person per week. Log their update, any blockers, and the follow-up action — then use it as your agenda for next week's check-in.</t>
  </si>
  <si>
    <t>Open / Unresolved Items:</t>
  </si>
  <si>
    <t>Blocked Right Now:</t>
  </si>
  <si>
    <t>Week Of</t>
  </si>
  <si>
    <t>Task / Project</t>
  </si>
  <si>
    <t>Update Summary</t>
  </si>
  <si>
    <t>Challenges / Blockers</t>
  </si>
  <si>
    <t>Action Item</t>
  </si>
  <si>
    <t>Owner</t>
  </si>
  <si>
    <t>Target Date</t>
  </si>
  <si>
    <t>Resolved?</t>
  </si>
  <si>
    <t>Manager Notes</t>
  </si>
  <si>
    <t>Prod Linux patch rollout</t>
  </si>
  <si>
    <t>EXAMPLE — Patched 8/12 servers this week, on schedule for Friday.</t>
  </si>
  <si>
    <t>Waiting on change window approval for 2 finance DB servers.</t>
  </si>
  <si>
    <t>Chase change approval with Finance IT lead</t>
  </si>
  <si>
    <t>Yes</t>
  </si>
  <si>
    <t>Follow up mid-week if approval hasn't come through.</t>
  </si>
  <si>
    <t>LMS Overview</t>
  </si>
  <si>
    <t>On Track</t>
  </si>
  <si>
    <t>LMS - Verify and Pending confirmation</t>
  </si>
  <si>
    <t>SBQ Backup - on Cloud Storage</t>
  </si>
  <si>
    <t>SBQ Backup Automation</t>
  </si>
  <si>
    <t>SBQ.com Email account protection</t>
  </si>
  <si>
    <t>Password rotation
Mailenable not feature of MFA</t>
  </si>
  <si>
    <t>Mail enable logs Adit with Wazuh</t>
  </si>
  <si>
    <t>Sentinel Test</t>
  </si>
  <si>
    <t>Blocked</t>
  </si>
  <si>
    <t>build Vs Purchase</t>
  </si>
  <si>
    <t>Zabbix Reporting</t>
  </si>
  <si>
    <t>Gitlab Upgrade</t>
  </si>
  <si>
    <t>Smartubl upgrade</t>
  </si>
  <si>
    <t xml:space="preserve">Wazuh Audit - Log rotate and Space </t>
  </si>
  <si>
    <t>Wazuh Upgrade, Log compression</t>
  </si>
  <si>
    <t>Wazuh Agent Cleanup</t>
  </si>
  <si>
    <t>EasyTime Pro - Department update</t>
  </si>
  <si>
    <t>Prepare Macbook for Shivani once received Dispay replacement</t>
  </si>
  <si>
    <t>Inventory Audit</t>
  </si>
  <si>
    <t>Regular Task and Laptop Prepare</t>
  </si>
  <si>
    <t>Prepare Macbook for Karan (at Shivani home)</t>
  </si>
  <si>
    <t>Exit employee audit</t>
  </si>
  <si>
    <t>Recheck Iicense and account</t>
  </si>
  <si>
    <t>Keka Search slowness</t>
  </si>
  <si>
    <t>Hosted Scan - Vulnerability Scan</t>
  </si>
  <si>
    <t>Ports, Sites Vulnerabilities</t>
  </si>
  <si>
    <t>Wzuh Portal Optimization</t>
  </si>
  <si>
    <t>Ongoing now</t>
  </si>
  <si>
    <t>Proxmox Patch</t>
  </si>
  <si>
    <t>Windows Installation Test</t>
  </si>
  <si>
    <t>11 and 2025</t>
  </si>
  <si>
    <t>Laptop Preparation - Lenovo</t>
  </si>
  <si>
    <t>ACSI Laptop replacement</t>
  </si>
  <si>
    <t>Linux server Vulnerability Reporting</t>
  </si>
  <si>
    <t>NL App migration Plan</t>
  </si>
  <si>
    <t>Laptop Swaping Task - ACSI</t>
  </si>
  <si>
    <t>1 replaced out of 5</t>
  </si>
  <si>
    <t>Nerve Center - Endpoint Security</t>
  </si>
  <si>
    <t>OTA updates and disk scan utility</t>
  </si>
  <si>
    <t>ZUID LMS</t>
  </si>
  <si>
    <t>Report and Analysis testing</t>
  </si>
  <si>
    <t>NL Servers migration Plan</t>
  </si>
  <si>
    <t>NL Servers License Quote</t>
  </si>
  <si>
    <t>Delayed</t>
  </si>
  <si>
    <t>Previder person on Leave and will be back on 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</si>
</sst>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0.0%"/>
    <numFmt numFmtId="167" formatCode="dd\-mmm"/>
  </numFmts>
  <fonts count="12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2E5395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808080"/>
      <name val="Arial"/>
      <charset val="1"/>
    </font>
    <font>
      <b/>
      <sz val="10"/>
      <color rgb="FF1F3864"/>
      <name val="Arial"/>
      <charset val="1"/>
    </font>
    <font>
      <b/>
      <sz val="12"/>
      <color rgb="FFC00000"/>
      <name val="Arial"/>
      <charset val="1"/>
    </font>
    <font>
      <b/>
      <sz val="14"/>
      <color rgb="FF2E5395"/>
      <name val="Arial"/>
      <charset val="1"/>
    </font>
    <font>
      <b/>
      <sz val="12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20" fontId="7" fillId="3" borderId="1" xfId="0" applyNumberFormat="1" applyFont="1" applyFill="1" applyBorder="1"/>
    <xf numFmtId="164" fontId="4" fillId="0" borderId="1" xfId="0" applyNumberFormat="1" applyFont="1" applyBorder="1"/>
    <xf numFmtId="20" fontId="4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6" fillId="4" borderId="1" xfId="0" applyFont="1" applyFill="1" applyBorder="1" applyAlignment="1">
      <alignment horizontal="center"/>
    </xf>
    <xf numFmtId="0" fontId="8" fillId="5" borderId="1" xfId="0" applyFont="1" applyFill="1" applyBorder="1"/>
    <xf numFmtId="0" fontId="0" fillId="0" borderId="1" xfId="0" applyBorder="1"/>
    <xf numFmtId="165" fontId="10" fillId="0" borderId="1" xfId="0" applyNumberFormat="1" applyFont="1" applyBorder="1"/>
    <xf numFmtId="0" fontId="10" fillId="0" borderId="1" xfId="0" applyFont="1" applyBorder="1"/>
    <xf numFmtId="2" fontId="10" fillId="0" borderId="1" xfId="0" applyNumberFormat="1" applyFont="1" applyBorder="1"/>
    <xf numFmtId="166" fontId="10" fillId="0" borderId="1" xfId="0" applyNumberFormat="1" applyFont="1" applyBorder="1"/>
    <xf numFmtId="0" fontId="11" fillId="0" borderId="0" xfId="0" applyFont="1"/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9B49"/>
      <rgbColor rgb="FF800080"/>
      <rgbColor rgb="FF4F81BD"/>
      <rgbColor rgb="FFBFBFBF"/>
      <rgbColor rgb="FF808080"/>
      <rgbColor rgb="FF9999FF"/>
      <rgbColor rgb="FF9F423F"/>
      <rgbColor rgb="FFFFF2CC"/>
      <rgbColor rgb="FFDCE6F1"/>
      <rgbColor rgb="FF660066"/>
      <rgbColor rgb="FFCC7C3A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AABAD7"/>
      <rgbColor rgb="FFD8AAA9"/>
      <rgbColor rgb="FFC5D6AC"/>
      <rgbColor rgb="FFF8CBAD"/>
      <rgbColor rgb="FF4A7EBB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3E8EA4"/>
      <rgbColor rgb="FF003300"/>
      <rgbColor rgb="FF333300"/>
      <rgbColor rgb="FF6A5286"/>
      <rgbColor rgb="FFC0504D"/>
      <rgbColor rgb="FF2E5395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Hours by Employee (Month)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Dashboard!$D$12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Dashboard!$B$13:$B$17</c:f>
              <c:strCache>
                <c:ptCount val="5"/>
                <c:pt idx="0">
                  <c:v>Aftab Shaikh</c:v>
                </c:pt>
                <c:pt idx="1">
                  <c:v>Shakti Thakur</c:v>
                </c:pt>
                <c:pt idx="2">
                  <c:v>Soheb Shaikh</c:v>
                </c:pt>
                <c:pt idx="3">
                  <c:v>Shubham Hawdiya</c:v>
                </c:pt>
                <c:pt idx="4">
                  <c:v>Paras Lodaya</c:v>
                </c:pt>
              </c:strCache>
            </c:strRef>
          </c:cat>
          <c:val>
            <c:numRef>
              <c:f>Dashboard!$D$13:$D$17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C-4CDF-96F2-8866E8E31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34611"/>
        <c:axId val="13474250"/>
      </c:barChart>
      <c:catAx>
        <c:axId val="48534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74250"/>
        <c:crosses val="autoZero"/>
        <c:auto val="1"/>
        <c:lblAlgn val="ctr"/>
        <c:lblOffset val="100"/>
        <c:noMultiLvlLbl val="0"/>
      </c:catAx>
      <c:valAx>
        <c:axId val="13474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534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Hours by Task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Dashboard!$J$12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027-4CDC-92DA-2E9349F3F236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027-4CDC-92DA-2E9349F3F236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027-4CDC-92DA-2E9349F3F236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027-4CDC-92DA-2E9349F3F236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027-4CDC-92DA-2E9349F3F236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027-4CDC-92DA-2E9349F3F23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4027-4CDC-92DA-2E9349F3F236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027-4CDC-92DA-2E9349F3F236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027-4CDC-92DA-2E9349F3F236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027-4CDC-92DA-2E9349F3F236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4027-4CDC-92DA-2E9349F3F236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4027-4CDC-92DA-2E9349F3F236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4027-4CDC-92DA-2E9349F3F236}"/>
              </c:ext>
            </c:extLst>
          </c:dPt>
          <c:dPt>
            <c:idx val="13"/>
            <c:bubble3D val="0"/>
            <c:spPr>
              <a:solidFill>
                <a:srgbClr val="D8AAA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4027-4CDC-92DA-2E9349F3F236}"/>
              </c:ext>
            </c:extLst>
          </c:dPt>
          <c:dPt>
            <c:idx val="14"/>
            <c:bubble3D val="0"/>
            <c:spPr>
              <a:solidFill>
                <a:srgbClr val="C5D6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4027-4CDC-92DA-2E9349F3F23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27-4CDC-92DA-2E9349F3F23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27-4CDC-92DA-2E9349F3F23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27-4CDC-92DA-2E9349F3F23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27-4CDC-92DA-2E9349F3F23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27-4CDC-92DA-2E9349F3F23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27-4CDC-92DA-2E9349F3F23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27-4CDC-92DA-2E9349F3F23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027-4CDC-92DA-2E9349F3F23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027-4CDC-92DA-2E9349F3F23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027-4CDC-92DA-2E9349F3F23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027-4CDC-92DA-2E9349F3F236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027-4CDC-92DA-2E9349F3F23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027-4CDC-92DA-2E9349F3F236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027-4CDC-92DA-2E9349F3F236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027-4CDC-92DA-2E9349F3F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Dashboard!$I$13:$I$27</c:f>
              <c:strCache>
                <c:ptCount val="15"/>
                <c:pt idx="0">
                  <c:v>Server Maintenance</c:v>
                </c:pt>
                <c:pt idx="1">
                  <c:v>Network Monitoring / Troubleshooting</c:v>
                </c:pt>
                <c:pt idx="2">
                  <c:v>Patch Management / Updates</c:v>
                </c:pt>
                <c:pt idx="3">
                  <c:v>Backup &amp; Recovery</c:v>
                </c:pt>
                <c:pt idx="4">
                  <c:v>User / Desktop Support (Tickets)</c:v>
                </c:pt>
                <c:pt idx="5">
                  <c:v>Hardware Repair &amp; Installation</c:v>
                </c:pt>
                <c:pt idx="6">
                  <c:v>Procurement / Purchase Coordination</c:v>
                </c:pt>
                <c:pt idx="7">
                  <c:v>Vendor Coordination</c:v>
                </c:pt>
                <c:pt idx="8">
                  <c:v>Security / Antivirus Management</c:v>
                </c:pt>
                <c:pt idx="9">
                  <c:v>Active Directory / User Management</c:v>
                </c:pt>
                <c:pt idx="10">
                  <c:v>Documentation / SOP Updates</c:v>
                </c:pt>
                <c:pt idx="11">
                  <c:v>Meetings / Reporting</c:v>
                </c:pt>
                <c:pt idx="12">
                  <c:v>Email / Admin Tasks</c:v>
                </c:pt>
                <c:pt idx="13">
                  <c:v>Training / Self-learning</c:v>
                </c:pt>
                <c:pt idx="14">
                  <c:v>Other / Miscellaneous</c:v>
                </c:pt>
              </c:strCache>
            </c:strRef>
          </c:cat>
          <c:val>
            <c:numRef>
              <c:f>Dashboard!$J$13:$J$27</c:f>
              <c:numCache>
                <c:formatCode>0.0</c:formatCode>
                <c:ptCount val="15"/>
                <c:pt idx="0">
                  <c:v>1.5</c:v>
                </c:pt>
                <c:pt idx="1">
                  <c:v>1.25</c:v>
                </c:pt>
                <c:pt idx="2">
                  <c:v>0</c:v>
                </c:pt>
                <c:pt idx="3">
                  <c:v>0.75</c:v>
                </c:pt>
                <c:pt idx="4">
                  <c:v>2.5</c:v>
                </c:pt>
                <c:pt idx="5">
                  <c:v>0</c:v>
                </c:pt>
                <c:pt idx="6">
                  <c:v>2.5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027-4CDC-92DA-2E9349F3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Hours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Dashboard!$D$49</c:f>
              <c:strCache>
                <c:ptCount val="1"/>
                <c:pt idx="0">
                  <c:v>Total Hours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Dashboard!$C$50:$C$80</c:f>
              <c:numCache>
                <c:formatCode>dd\-mmm</c:formatCode>
                <c:ptCount val="3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</c:numCache>
            </c:numRef>
          </c:cat>
          <c:val>
            <c:numRef>
              <c:f>Dashboard!$D$50:$D$80</c:f>
              <c:numCache>
                <c:formatCode>General</c:formatCode>
                <c:ptCount val="31"/>
                <c:pt idx="0">
                  <c:v>7.75</c:v>
                </c:pt>
                <c:pt idx="1">
                  <c:v>1.25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71-4158-933F-A4F495F5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10751"/>
        <c:axId val="98675425"/>
      </c:lineChart>
      <c:dateAx>
        <c:axId val="64610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75425"/>
        <c:crosses val="autoZero"/>
        <c:auto val="1"/>
        <c:lblOffset val="100"/>
        <c:baseTimeUnit val="days"/>
      </c:dateAx>
      <c:valAx>
        <c:axId val="98675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10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101160</xdr:rowOff>
    </xdr:from>
    <xdr:to>
      <xdr:col>6</xdr:col>
      <xdr:colOff>4575</xdr:colOff>
      <xdr:row>43</xdr:row>
      <xdr:rowOff>122760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101160</xdr:rowOff>
    </xdr:from>
    <xdr:to>
      <xdr:col>13</xdr:col>
      <xdr:colOff>518400</xdr:colOff>
      <xdr:row>43</xdr:row>
      <xdr:rowOff>122760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82</xdr:row>
      <xdr:rowOff>100800</xdr:rowOff>
    </xdr:from>
    <xdr:to>
      <xdr:col>10</xdr:col>
      <xdr:colOff>171360</xdr:colOff>
      <xdr:row>97</xdr:row>
      <xdr:rowOff>122760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showGridLines="0" zoomScaleNormal="100" workbookViewId="0"/>
  </sheetViews>
  <sheetFormatPr defaultColWidth="8.7109375" defaultRowHeight="14.45"/>
  <cols>
    <col min="1" max="1" width="3" customWidth="1"/>
    <col min="2" max="2" width="100" customWidth="1"/>
  </cols>
  <sheetData>
    <row r="2" spans="2:2" ht="19.5" customHeight="1">
      <c r="B2" s="1" t="s">
        <v>0</v>
      </c>
    </row>
    <row r="3" spans="2:2" ht="15" customHeight="1">
      <c r="B3" s="2" t="s">
        <v>1</v>
      </c>
    </row>
    <row r="5" spans="2:2" ht="15" customHeight="1">
      <c r="B5" s="3" t="s">
        <v>2</v>
      </c>
    </row>
    <row r="6" spans="2:2" ht="27.75" customHeight="1">
      <c r="B6" s="4" t="s">
        <v>3</v>
      </c>
    </row>
    <row r="7" spans="2:2" ht="27.75" customHeight="1">
      <c r="B7" s="4" t="s">
        <v>4</v>
      </c>
    </row>
    <row r="8" spans="2:2" ht="27.75" customHeight="1">
      <c r="B8" s="4" t="s">
        <v>5</v>
      </c>
    </row>
    <row r="9" spans="2:2" ht="27.75" customHeight="1">
      <c r="B9" s="4" t="s">
        <v>6</v>
      </c>
    </row>
    <row r="10" spans="2:2" ht="15" customHeight="1">
      <c r="B10" s="3" t="s">
        <v>7</v>
      </c>
    </row>
    <row r="11" spans="2:2" ht="27.75" customHeight="1">
      <c r="B11" s="4" t="s">
        <v>8</v>
      </c>
    </row>
    <row r="12" spans="2:2" ht="27.75" customHeight="1">
      <c r="B12" s="4" t="s">
        <v>9</v>
      </c>
    </row>
    <row r="13" spans="2:2" ht="15" customHeight="1">
      <c r="B13" s="3" t="s">
        <v>10</v>
      </c>
    </row>
    <row r="14" spans="2:2" ht="27.75" customHeight="1">
      <c r="B14" s="4" t="s">
        <v>11</v>
      </c>
    </row>
    <row r="15" spans="2:2" ht="27.75" customHeight="1">
      <c r="B15" s="4" t="s">
        <v>12</v>
      </c>
    </row>
    <row r="16" spans="2:2" ht="27.75" customHeight="1">
      <c r="B16" s="4" t="s">
        <v>13</v>
      </c>
    </row>
    <row r="17" spans="2:2" ht="15" customHeight="1">
      <c r="B17" s="3" t="s">
        <v>14</v>
      </c>
    </row>
    <row r="18" spans="2:2" ht="27.75" customHeight="1">
      <c r="B18" s="4" t="s">
        <v>15</v>
      </c>
    </row>
    <row r="19" spans="2:2" ht="27.75" customHeight="1">
      <c r="B19" s="4" t="s">
        <v>16</v>
      </c>
    </row>
    <row r="20" spans="2:2" ht="27.75" customHeight="1">
      <c r="B20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zoomScaleNormal="100" workbookViewId="0">
      <selection activeCell="C7" sqref="C7"/>
    </sheetView>
  </sheetViews>
  <sheetFormatPr defaultColWidth="8.7109375" defaultRowHeight="14.45"/>
  <cols>
    <col min="1" max="1" width="12" customWidth="1"/>
    <col min="2" max="2" width="22" customWidth="1"/>
    <col min="3" max="3" width="34" customWidth="1"/>
    <col min="4" max="4" width="24" customWidth="1"/>
    <col min="5" max="5" width="20" customWidth="1"/>
  </cols>
  <sheetData>
    <row r="1" spans="1:5" ht="15" customHeight="1">
      <c r="A1" s="31" t="s">
        <v>18</v>
      </c>
      <c r="B1" s="31"/>
      <c r="C1" s="31"/>
      <c r="D1" s="31"/>
      <c r="E1" s="31"/>
    </row>
    <row r="2" spans="1:5" ht="21.75" customHeight="1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</row>
    <row r="3" spans="1:5" ht="15" customHeight="1">
      <c r="A3" s="6" t="s">
        <v>24</v>
      </c>
      <c r="B3" s="7" t="s">
        <v>25</v>
      </c>
      <c r="C3" s="6" t="s">
        <v>26</v>
      </c>
      <c r="D3" s="7" t="s">
        <v>27</v>
      </c>
      <c r="E3" s="6"/>
    </row>
    <row r="4" spans="1:5" ht="15" customHeight="1">
      <c r="A4" s="6" t="s">
        <v>28</v>
      </c>
      <c r="B4" s="7" t="s">
        <v>29</v>
      </c>
      <c r="C4" s="6" t="s">
        <v>30</v>
      </c>
      <c r="D4" s="7" t="s">
        <v>27</v>
      </c>
      <c r="E4" s="6"/>
    </row>
    <row r="5" spans="1:5" ht="15" customHeight="1">
      <c r="A5" s="6" t="s">
        <v>31</v>
      </c>
      <c r="B5" s="7" t="s">
        <v>32</v>
      </c>
      <c r="C5" s="6" t="s">
        <v>33</v>
      </c>
      <c r="D5" s="7" t="s">
        <v>27</v>
      </c>
      <c r="E5" s="6"/>
    </row>
    <row r="6" spans="1:5" ht="15" customHeight="1">
      <c r="A6" s="6" t="s">
        <v>34</v>
      </c>
      <c r="B6" s="7" t="s">
        <v>35</v>
      </c>
      <c r="C6" s="6" t="s">
        <v>36</v>
      </c>
      <c r="D6" s="7" t="s">
        <v>27</v>
      </c>
      <c r="E6" s="6"/>
    </row>
    <row r="7" spans="1:5" ht="15" customHeight="1">
      <c r="A7" s="6" t="s">
        <v>37</v>
      </c>
      <c r="B7" s="7" t="s">
        <v>38</v>
      </c>
      <c r="C7" s="6" t="s">
        <v>39</v>
      </c>
      <c r="D7" s="7" t="s">
        <v>27</v>
      </c>
      <c r="E7" s="6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zoomScaleNormal="100" workbookViewId="0">
      <selection sqref="A1:B1"/>
    </sheetView>
  </sheetViews>
  <sheetFormatPr defaultColWidth="8.7109375" defaultRowHeight="14.45"/>
  <cols>
    <col min="1" max="1" width="38" customWidth="1"/>
    <col min="2" max="2" width="46" customWidth="1"/>
  </cols>
  <sheetData>
    <row r="1" spans="1:2" ht="15" customHeight="1">
      <c r="A1" s="31" t="s">
        <v>40</v>
      </c>
      <c r="B1" s="31"/>
    </row>
    <row r="2" spans="1:2" ht="21.75" customHeight="1">
      <c r="A2" s="5" t="s">
        <v>41</v>
      </c>
      <c r="B2" s="5" t="s">
        <v>42</v>
      </c>
    </row>
    <row r="3" spans="1:2" ht="15" customHeight="1">
      <c r="A3" s="8" t="s">
        <v>43</v>
      </c>
      <c r="B3" s="8" t="s">
        <v>44</v>
      </c>
    </row>
    <row r="4" spans="1:2" ht="15" customHeight="1">
      <c r="A4" s="8" t="s">
        <v>45</v>
      </c>
      <c r="B4" s="8" t="s">
        <v>46</v>
      </c>
    </row>
    <row r="5" spans="1:2" ht="15" customHeight="1">
      <c r="A5" s="8" t="s">
        <v>47</v>
      </c>
      <c r="B5" s="8" t="s">
        <v>48</v>
      </c>
    </row>
    <row r="6" spans="1:2" ht="15" customHeight="1">
      <c r="A6" s="8" t="s">
        <v>49</v>
      </c>
      <c r="B6" s="8" t="s">
        <v>44</v>
      </c>
    </row>
    <row r="7" spans="1:2" ht="15" customHeight="1">
      <c r="A7" s="8" t="s">
        <v>50</v>
      </c>
      <c r="B7" s="8" t="s">
        <v>36</v>
      </c>
    </row>
    <row r="8" spans="1:2" ht="15" customHeight="1">
      <c r="A8" s="8" t="s">
        <v>51</v>
      </c>
      <c r="B8" s="8" t="s">
        <v>52</v>
      </c>
    </row>
    <row r="9" spans="1:2" ht="15" customHeight="1">
      <c r="A9" s="8" t="s">
        <v>53</v>
      </c>
      <c r="B9" s="8" t="s">
        <v>54</v>
      </c>
    </row>
    <row r="10" spans="1:2" ht="15" customHeight="1">
      <c r="A10" s="8" t="s">
        <v>55</v>
      </c>
      <c r="B10" s="8" t="s">
        <v>54</v>
      </c>
    </row>
    <row r="11" spans="1:2" ht="15" customHeight="1">
      <c r="A11" s="8" t="s">
        <v>56</v>
      </c>
      <c r="B11" s="8" t="s">
        <v>57</v>
      </c>
    </row>
    <row r="12" spans="1:2" ht="15" customHeight="1">
      <c r="A12" s="8" t="s">
        <v>58</v>
      </c>
      <c r="B12" s="8" t="s">
        <v>59</v>
      </c>
    </row>
    <row r="13" spans="1:2" ht="15" customHeight="1">
      <c r="A13" s="8" t="s">
        <v>60</v>
      </c>
      <c r="B13" s="8" t="s">
        <v>57</v>
      </c>
    </row>
    <row r="14" spans="1:2" ht="15" customHeight="1">
      <c r="A14" s="8" t="s">
        <v>61</v>
      </c>
      <c r="B14" s="8" t="s">
        <v>57</v>
      </c>
    </row>
    <row r="15" spans="1:2" ht="15" customHeight="1">
      <c r="A15" s="8" t="s">
        <v>62</v>
      </c>
      <c r="B15" s="8" t="s">
        <v>57</v>
      </c>
    </row>
    <row r="16" spans="1:2" ht="15" customHeight="1">
      <c r="A16" s="8" t="s">
        <v>63</v>
      </c>
      <c r="B16" s="8" t="s">
        <v>57</v>
      </c>
    </row>
    <row r="17" spans="1:2" ht="15" customHeight="1">
      <c r="A17" s="8" t="s">
        <v>64</v>
      </c>
      <c r="B17" s="8" t="s">
        <v>57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4"/>
  <sheetViews>
    <sheetView showGridLines="0" zoomScaleNormal="100" workbookViewId="0">
      <pane ySplit="3" topLeftCell="A4" activePane="bottomLeft" state="frozen"/>
      <selection pane="bottomLeft" activeCell="E12" sqref="E12"/>
    </sheetView>
  </sheetViews>
  <sheetFormatPr defaultColWidth="8.7109375" defaultRowHeight="14.45"/>
  <cols>
    <col min="1" max="1" width="13" customWidth="1"/>
    <col min="2" max="2" width="18" customWidth="1"/>
    <col min="3" max="4" width="30" customWidth="1"/>
    <col min="5" max="5" width="42" customWidth="1"/>
    <col min="6" max="7" width="10" customWidth="1"/>
    <col min="8" max="8" width="12" customWidth="1"/>
    <col min="9" max="9" width="13" customWidth="1"/>
    <col min="10" max="10" width="30" customWidth="1"/>
  </cols>
  <sheetData>
    <row r="1" spans="1:10" ht="15" customHeight="1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21.75" customHeight="1">
      <c r="A3" s="5" t="s">
        <v>66</v>
      </c>
      <c r="B3" s="5" t="s">
        <v>20</v>
      </c>
      <c r="C3" s="5" t="s">
        <v>21</v>
      </c>
      <c r="D3" s="5" t="s">
        <v>41</v>
      </c>
      <c r="E3" s="5" t="s">
        <v>67</v>
      </c>
      <c r="F3" s="5" t="s">
        <v>68</v>
      </c>
      <c r="G3" s="5" t="s">
        <v>69</v>
      </c>
      <c r="H3" s="5" t="s">
        <v>70</v>
      </c>
      <c r="I3" s="5" t="s">
        <v>71</v>
      </c>
      <c r="J3" s="5" t="s">
        <v>72</v>
      </c>
    </row>
    <row r="4" spans="1:10" ht="15" customHeight="1">
      <c r="A4" s="9">
        <v>46266</v>
      </c>
      <c r="B4" s="10" t="s">
        <v>73</v>
      </c>
      <c r="C4" s="10" t="str">
        <f>IFERROR(INDEX('Team Master'!$C$3:$C$200,MATCH(B4,'Team Master'!$B$3:$B$200,0)),"")</f>
        <v/>
      </c>
      <c r="D4" s="10" t="s">
        <v>43</v>
      </c>
      <c r="E4" s="10" t="s">
        <v>74</v>
      </c>
      <c r="F4" s="11" t="s">
        <v>75</v>
      </c>
      <c r="G4" s="11" t="s">
        <v>76</v>
      </c>
      <c r="H4" s="10">
        <f t="shared" ref="H4:H67" si="0">IF(AND(F4&lt;&gt;"",G4&lt;&gt;""),ROUND((G4-F4)*24,2),0)</f>
        <v>1.5</v>
      </c>
      <c r="I4" s="10" t="s">
        <v>77</v>
      </c>
      <c r="J4" s="10" t="s">
        <v>78</v>
      </c>
    </row>
    <row r="5" spans="1:10" ht="15" customHeight="1">
      <c r="A5" s="9">
        <v>46266</v>
      </c>
      <c r="B5" s="10" t="s">
        <v>79</v>
      </c>
      <c r="C5" s="10" t="str">
        <f>IFERROR(INDEX('Team Master'!$C$3:$C$200,MATCH(B5,'Team Master'!$B$3:$B$200,0)),"")</f>
        <v/>
      </c>
      <c r="D5" s="10" t="s">
        <v>45</v>
      </c>
      <c r="E5" s="10" t="s">
        <v>80</v>
      </c>
      <c r="F5" s="11" t="s">
        <v>81</v>
      </c>
      <c r="G5" s="11" t="s">
        <v>82</v>
      </c>
      <c r="H5" s="10">
        <f t="shared" si="0"/>
        <v>1.25</v>
      </c>
      <c r="I5" s="10" t="s">
        <v>77</v>
      </c>
      <c r="J5" s="10" t="s">
        <v>78</v>
      </c>
    </row>
    <row r="6" spans="1:10" ht="15" customHeight="1">
      <c r="A6" s="9">
        <v>46266</v>
      </c>
      <c r="B6" s="10" t="s">
        <v>83</v>
      </c>
      <c r="C6" s="10" t="str">
        <f>IFERROR(INDEX('Team Master'!$C$3:$C$200,MATCH(B6,'Team Master'!$B$3:$B$200,0)),"")</f>
        <v/>
      </c>
      <c r="D6" s="10" t="s">
        <v>50</v>
      </c>
      <c r="E6" s="10" t="s">
        <v>84</v>
      </c>
      <c r="F6" s="11" t="s">
        <v>85</v>
      </c>
      <c r="G6" s="11" t="s">
        <v>86</v>
      </c>
      <c r="H6" s="10">
        <f t="shared" si="0"/>
        <v>2.5</v>
      </c>
      <c r="I6" s="10" t="s">
        <v>77</v>
      </c>
      <c r="J6" s="10" t="s">
        <v>78</v>
      </c>
    </row>
    <row r="7" spans="1:10" ht="15" customHeight="1">
      <c r="A7" s="9">
        <v>46266</v>
      </c>
      <c r="B7" s="10" t="s">
        <v>87</v>
      </c>
      <c r="C7" s="10" t="str">
        <f>IFERROR(INDEX('Team Master'!$C$3:$C$200,MATCH(B7,'Team Master'!$B$3:$B$200,0)),"")</f>
        <v/>
      </c>
      <c r="D7" s="10" t="s">
        <v>53</v>
      </c>
      <c r="E7" s="10" t="s">
        <v>88</v>
      </c>
      <c r="F7" s="11" t="s">
        <v>89</v>
      </c>
      <c r="G7" s="11" t="s">
        <v>90</v>
      </c>
      <c r="H7" s="10">
        <f t="shared" si="0"/>
        <v>2.5</v>
      </c>
      <c r="I7" s="10" t="s">
        <v>91</v>
      </c>
      <c r="J7" s="10" t="s">
        <v>78</v>
      </c>
    </row>
    <row r="8" spans="1:10" ht="15" customHeight="1">
      <c r="A8" s="9">
        <v>46267</v>
      </c>
      <c r="B8" s="10" t="s">
        <v>92</v>
      </c>
      <c r="C8" s="10" t="str">
        <f>IFERROR(INDEX('Team Master'!$C$3:$C$200,MATCH(B8,'Team Master'!$B$3:$B$200,0)),"")</f>
        <v/>
      </c>
      <c r="D8" s="10" t="s">
        <v>49</v>
      </c>
      <c r="E8" s="10" t="s">
        <v>93</v>
      </c>
      <c r="F8" s="11" t="s">
        <v>81</v>
      </c>
      <c r="G8" s="11" t="s">
        <v>94</v>
      </c>
      <c r="H8" s="10">
        <f t="shared" si="0"/>
        <v>0.75</v>
      </c>
      <c r="I8" s="10" t="s">
        <v>77</v>
      </c>
      <c r="J8" s="10" t="s">
        <v>78</v>
      </c>
    </row>
    <row r="9" spans="1:10" ht="15" customHeight="1">
      <c r="A9" s="9">
        <v>46267</v>
      </c>
      <c r="B9" s="10" t="s">
        <v>73</v>
      </c>
      <c r="C9" s="10" t="str">
        <f>IFERROR(INDEX('Team Master'!$C$3:$C$200,MATCH(B9,'Team Master'!$B$3:$B$200,0)),"")</f>
        <v/>
      </c>
      <c r="D9" s="10" t="s">
        <v>61</v>
      </c>
      <c r="E9" s="10" t="s">
        <v>95</v>
      </c>
      <c r="F9" s="11" t="s">
        <v>96</v>
      </c>
      <c r="G9" s="11" t="s">
        <v>97</v>
      </c>
      <c r="H9" s="10">
        <f t="shared" si="0"/>
        <v>0.5</v>
      </c>
      <c r="I9" s="10" t="s">
        <v>77</v>
      </c>
      <c r="J9" s="10" t="s">
        <v>78</v>
      </c>
    </row>
    <row r="10" spans="1:10" ht="15" customHeight="1">
      <c r="A10" s="12"/>
      <c r="B10" s="8"/>
      <c r="C10" s="8" t="str">
        <f>IFERROR(INDEX('Team Master'!$C$3:$C$200,MATCH(B10,'Team Master'!$B$3:$B$200,0)),"")</f>
        <v/>
      </c>
      <c r="D10" s="8"/>
      <c r="E10" s="8"/>
      <c r="F10" s="13"/>
      <c r="G10" s="13"/>
      <c r="H10" s="8">
        <f t="shared" si="0"/>
        <v>0</v>
      </c>
      <c r="I10" s="8"/>
      <c r="J10" s="8"/>
    </row>
    <row r="11" spans="1:10" ht="15" customHeight="1">
      <c r="A11" s="12"/>
      <c r="B11" s="8"/>
      <c r="C11" s="8" t="str">
        <f>IFERROR(INDEX('Team Master'!$C$3:$C$200,MATCH(B11,'Team Master'!$B$3:$B$200,0)),"")</f>
        <v/>
      </c>
      <c r="D11" s="8"/>
      <c r="E11" s="8"/>
      <c r="F11" s="13"/>
      <c r="G11" s="13"/>
      <c r="H11" s="8">
        <f t="shared" si="0"/>
        <v>0</v>
      </c>
      <c r="I11" s="8"/>
      <c r="J11" s="8"/>
    </row>
    <row r="12" spans="1:10" ht="15" customHeight="1">
      <c r="A12" s="12"/>
      <c r="B12" s="8"/>
      <c r="C12" s="8" t="str">
        <f>IFERROR(INDEX('Team Master'!$C$3:$C$200,MATCH(B12,'Team Master'!$B$3:$B$200,0)),"")</f>
        <v/>
      </c>
      <c r="D12" s="8"/>
      <c r="E12" s="8"/>
      <c r="F12" s="13"/>
      <c r="G12" s="13"/>
      <c r="H12" s="8">
        <f t="shared" si="0"/>
        <v>0</v>
      </c>
      <c r="I12" s="8"/>
      <c r="J12" s="8"/>
    </row>
    <row r="13" spans="1:10" ht="15" customHeight="1">
      <c r="A13" s="12"/>
      <c r="B13" s="8"/>
      <c r="C13" s="8" t="str">
        <f>IFERROR(INDEX('Team Master'!$C$3:$C$200,MATCH(B13,'Team Master'!$B$3:$B$200,0)),"")</f>
        <v/>
      </c>
      <c r="D13" s="8"/>
      <c r="E13" s="8"/>
      <c r="F13" s="13"/>
      <c r="G13" s="13"/>
      <c r="H13" s="8">
        <f t="shared" si="0"/>
        <v>0</v>
      </c>
      <c r="I13" s="8"/>
      <c r="J13" s="8"/>
    </row>
    <row r="14" spans="1:10" ht="15" customHeight="1">
      <c r="A14" s="12"/>
      <c r="B14" s="8"/>
      <c r="C14" s="8" t="str">
        <f>IFERROR(INDEX('Team Master'!$C$3:$C$200,MATCH(B14,'Team Master'!$B$3:$B$200,0)),"")</f>
        <v/>
      </c>
      <c r="D14" s="8"/>
      <c r="E14" s="8"/>
      <c r="F14" s="13"/>
      <c r="G14" s="13"/>
      <c r="H14" s="8">
        <f t="shared" si="0"/>
        <v>0</v>
      </c>
      <c r="I14" s="8"/>
      <c r="J14" s="8"/>
    </row>
    <row r="15" spans="1:10" ht="15" customHeight="1">
      <c r="A15" s="12"/>
      <c r="B15" s="8"/>
      <c r="C15" s="8" t="str">
        <f>IFERROR(INDEX('Team Master'!$C$3:$C$200,MATCH(B15,'Team Master'!$B$3:$B$200,0)),"")</f>
        <v/>
      </c>
      <c r="D15" s="8"/>
      <c r="E15" s="8"/>
      <c r="F15" s="13"/>
      <c r="G15" s="13"/>
      <c r="H15" s="8">
        <f t="shared" si="0"/>
        <v>0</v>
      </c>
      <c r="I15" s="8"/>
      <c r="J15" s="8"/>
    </row>
    <row r="16" spans="1:10" ht="15" customHeight="1">
      <c r="A16" s="12"/>
      <c r="B16" s="8"/>
      <c r="C16" s="8" t="str">
        <f>IFERROR(INDEX('Team Master'!$C$3:$C$200,MATCH(B16,'Team Master'!$B$3:$B$200,0)),"")</f>
        <v/>
      </c>
      <c r="D16" s="8"/>
      <c r="E16" s="8"/>
      <c r="F16" s="13"/>
      <c r="G16" s="13"/>
      <c r="H16" s="8">
        <f t="shared" si="0"/>
        <v>0</v>
      </c>
      <c r="I16" s="8"/>
      <c r="J16" s="8"/>
    </row>
    <row r="17" spans="1:10" ht="15" customHeight="1">
      <c r="A17" s="12"/>
      <c r="B17" s="8"/>
      <c r="C17" s="8" t="str">
        <f>IFERROR(INDEX('Team Master'!$C$3:$C$200,MATCH(B17,'Team Master'!$B$3:$B$200,0)),"")</f>
        <v/>
      </c>
      <c r="D17" s="8"/>
      <c r="E17" s="8"/>
      <c r="F17" s="13"/>
      <c r="G17" s="13"/>
      <c r="H17" s="8">
        <f t="shared" si="0"/>
        <v>0</v>
      </c>
      <c r="I17" s="8"/>
      <c r="J17" s="8"/>
    </row>
    <row r="18" spans="1:10" ht="15" customHeight="1">
      <c r="A18" s="12"/>
      <c r="B18" s="8"/>
      <c r="C18" s="8" t="str">
        <f>IFERROR(INDEX('Team Master'!$C$3:$C$200,MATCH(B18,'Team Master'!$B$3:$B$200,0)),"")</f>
        <v/>
      </c>
      <c r="D18" s="8"/>
      <c r="E18" s="8"/>
      <c r="F18" s="13"/>
      <c r="G18" s="13"/>
      <c r="H18" s="8">
        <f t="shared" si="0"/>
        <v>0</v>
      </c>
      <c r="I18" s="8"/>
      <c r="J18" s="8"/>
    </row>
    <row r="19" spans="1:10" ht="15" customHeight="1">
      <c r="A19" s="12"/>
      <c r="B19" s="8"/>
      <c r="C19" s="8" t="str">
        <f>IFERROR(INDEX('Team Master'!$C$3:$C$200,MATCH(B19,'Team Master'!$B$3:$B$200,0)),"")</f>
        <v/>
      </c>
      <c r="D19" s="8"/>
      <c r="E19" s="8"/>
      <c r="F19" s="13"/>
      <c r="G19" s="13"/>
      <c r="H19" s="8">
        <f t="shared" si="0"/>
        <v>0</v>
      </c>
      <c r="I19" s="8"/>
      <c r="J19" s="8"/>
    </row>
    <row r="20" spans="1:10" ht="15" customHeight="1">
      <c r="A20" s="12"/>
      <c r="B20" s="8"/>
      <c r="C20" s="8" t="str">
        <f>IFERROR(INDEX('Team Master'!$C$3:$C$200,MATCH(B20,'Team Master'!$B$3:$B$200,0)),"")</f>
        <v/>
      </c>
      <c r="D20" s="8"/>
      <c r="E20" s="8"/>
      <c r="F20" s="13"/>
      <c r="G20" s="13"/>
      <c r="H20" s="8">
        <f t="shared" si="0"/>
        <v>0</v>
      </c>
      <c r="I20" s="8"/>
      <c r="J20" s="8"/>
    </row>
    <row r="21" spans="1:10" ht="15" customHeight="1">
      <c r="A21" s="12"/>
      <c r="B21" s="8"/>
      <c r="C21" s="8" t="str">
        <f>IFERROR(INDEX('Team Master'!$C$3:$C$200,MATCH(B21,'Team Master'!$B$3:$B$200,0)),"")</f>
        <v/>
      </c>
      <c r="D21" s="8"/>
      <c r="E21" s="8"/>
      <c r="F21" s="13"/>
      <c r="G21" s="13"/>
      <c r="H21" s="8">
        <f t="shared" si="0"/>
        <v>0</v>
      </c>
      <c r="I21" s="8"/>
      <c r="J21" s="8"/>
    </row>
    <row r="22" spans="1:10" ht="15" customHeight="1">
      <c r="A22" s="12"/>
      <c r="B22" s="8"/>
      <c r="C22" s="8" t="str">
        <f>IFERROR(INDEX('Team Master'!$C$3:$C$200,MATCH(B22,'Team Master'!$B$3:$B$200,0)),"")</f>
        <v/>
      </c>
      <c r="D22" s="8"/>
      <c r="E22" s="8"/>
      <c r="F22" s="13"/>
      <c r="G22" s="13"/>
      <c r="H22" s="8">
        <f t="shared" si="0"/>
        <v>0</v>
      </c>
      <c r="I22" s="8"/>
      <c r="J22" s="8"/>
    </row>
    <row r="23" spans="1:10" ht="15" customHeight="1">
      <c r="A23" s="12"/>
      <c r="B23" s="8"/>
      <c r="C23" s="8" t="str">
        <f>IFERROR(INDEX('Team Master'!$C$3:$C$200,MATCH(B23,'Team Master'!$B$3:$B$200,0)),"")</f>
        <v/>
      </c>
      <c r="D23" s="8"/>
      <c r="E23" s="8"/>
      <c r="F23" s="13"/>
      <c r="G23" s="13"/>
      <c r="H23" s="8">
        <f t="shared" si="0"/>
        <v>0</v>
      </c>
      <c r="I23" s="8"/>
      <c r="J23" s="8"/>
    </row>
    <row r="24" spans="1:10" ht="15" customHeight="1">
      <c r="A24" s="12"/>
      <c r="B24" s="8"/>
      <c r="C24" s="8" t="str">
        <f>IFERROR(INDEX('Team Master'!$C$3:$C$200,MATCH(B24,'Team Master'!$B$3:$B$200,0)),"")</f>
        <v/>
      </c>
      <c r="D24" s="8"/>
      <c r="E24" s="8"/>
      <c r="F24" s="13"/>
      <c r="G24" s="13"/>
      <c r="H24" s="8">
        <f t="shared" si="0"/>
        <v>0</v>
      </c>
      <c r="I24" s="8"/>
      <c r="J24" s="8"/>
    </row>
    <row r="25" spans="1:10" ht="15" customHeight="1">
      <c r="A25" s="12"/>
      <c r="B25" s="8"/>
      <c r="C25" s="8" t="str">
        <f>IFERROR(INDEX('Team Master'!$C$3:$C$200,MATCH(B25,'Team Master'!$B$3:$B$200,0)),"")</f>
        <v/>
      </c>
      <c r="D25" s="8"/>
      <c r="E25" s="8"/>
      <c r="F25" s="13"/>
      <c r="G25" s="13"/>
      <c r="H25" s="8">
        <f t="shared" si="0"/>
        <v>0</v>
      </c>
      <c r="I25" s="8"/>
      <c r="J25" s="8"/>
    </row>
    <row r="26" spans="1:10" ht="15" customHeight="1">
      <c r="A26" s="12"/>
      <c r="B26" s="8"/>
      <c r="C26" s="8" t="str">
        <f>IFERROR(INDEX('Team Master'!$C$3:$C$200,MATCH(B26,'Team Master'!$B$3:$B$200,0)),"")</f>
        <v/>
      </c>
      <c r="D26" s="8"/>
      <c r="E26" s="8"/>
      <c r="F26" s="13"/>
      <c r="G26" s="13"/>
      <c r="H26" s="8">
        <f t="shared" si="0"/>
        <v>0</v>
      </c>
      <c r="I26" s="8"/>
      <c r="J26" s="8"/>
    </row>
    <row r="27" spans="1:10" ht="15" customHeight="1">
      <c r="A27" s="12"/>
      <c r="B27" s="8"/>
      <c r="C27" s="8" t="str">
        <f>IFERROR(INDEX('Team Master'!$C$3:$C$200,MATCH(B27,'Team Master'!$B$3:$B$200,0)),"")</f>
        <v/>
      </c>
      <c r="D27" s="8"/>
      <c r="E27" s="8"/>
      <c r="F27" s="13"/>
      <c r="G27" s="13"/>
      <c r="H27" s="8">
        <f t="shared" si="0"/>
        <v>0</v>
      </c>
      <c r="I27" s="8"/>
      <c r="J27" s="8"/>
    </row>
    <row r="28" spans="1:10" ht="15" customHeight="1">
      <c r="A28" s="12"/>
      <c r="B28" s="8"/>
      <c r="C28" s="8" t="str">
        <f>IFERROR(INDEX('Team Master'!$C$3:$C$200,MATCH(B28,'Team Master'!$B$3:$B$200,0)),"")</f>
        <v/>
      </c>
      <c r="D28" s="8"/>
      <c r="E28" s="8"/>
      <c r="F28" s="13"/>
      <c r="G28" s="13"/>
      <c r="H28" s="8">
        <f t="shared" si="0"/>
        <v>0</v>
      </c>
      <c r="I28" s="8"/>
      <c r="J28" s="8"/>
    </row>
    <row r="29" spans="1:10" ht="15" customHeight="1">
      <c r="A29" s="12"/>
      <c r="B29" s="8"/>
      <c r="C29" s="8" t="str">
        <f>IFERROR(INDEX('Team Master'!$C$3:$C$200,MATCH(B29,'Team Master'!$B$3:$B$200,0)),"")</f>
        <v/>
      </c>
      <c r="D29" s="8"/>
      <c r="E29" s="8"/>
      <c r="F29" s="13"/>
      <c r="G29" s="13"/>
      <c r="H29" s="8">
        <f t="shared" si="0"/>
        <v>0</v>
      </c>
      <c r="I29" s="8"/>
      <c r="J29" s="8"/>
    </row>
    <row r="30" spans="1:10" ht="15" customHeight="1">
      <c r="A30" s="12"/>
      <c r="B30" s="8"/>
      <c r="C30" s="8" t="str">
        <f>IFERROR(INDEX('Team Master'!$C$3:$C$200,MATCH(B30,'Team Master'!$B$3:$B$200,0)),"")</f>
        <v/>
      </c>
      <c r="D30" s="8"/>
      <c r="E30" s="8"/>
      <c r="F30" s="13"/>
      <c r="G30" s="13"/>
      <c r="H30" s="8">
        <f t="shared" si="0"/>
        <v>0</v>
      </c>
      <c r="I30" s="8"/>
      <c r="J30" s="8"/>
    </row>
    <row r="31" spans="1:10" ht="15" customHeight="1">
      <c r="A31" s="12"/>
      <c r="B31" s="8"/>
      <c r="C31" s="8" t="str">
        <f>IFERROR(INDEX('Team Master'!$C$3:$C$200,MATCH(B31,'Team Master'!$B$3:$B$200,0)),"")</f>
        <v/>
      </c>
      <c r="D31" s="8"/>
      <c r="E31" s="8"/>
      <c r="F31" s="13"/>
      <c r="G31" s="13"/>
      <c r="H31" s="8">
        <f t="shared" si="0"/>
        <v>0</v>
      </c>
      <c r="I31" s="8"/>
      <c r="J31" s="8"/>
    </row>
    <row r="32" spans="1:10" ht="15" customHeight="1">
      <c r="A32" s="12"/>
      <c r="B32" s="8"/>
      <c r="C32" s="8" t="str">
        <f>IFERROR(INDEX('Team Master'!$C$3:$C$200,MATCH(B32,'Team Master'!$B$3:$B$200,0)),"")</f>
        <v/>
      </c>
      <c r="D32" s="8"/>
      <c r="E32" s="8"/>
      <c r="F32" s="13"/>
      <c r="G32" s="13"/>
      <c r="H32" s="8">
        <f t="shared" si="0"/>
        <v>0</v>
      </c>
      <c r="I32" s="8"/>
      <c r="J32" s="8"/>
    </row>
    <row r="33" spans="1:10" ht="15" customHeight="1">
      <c r="A33" s="12"/>
      <c r="B33" s="8"/>
      <c r="C33" s="8" t="str">
        <f>IFERROR(INDEX('Team Master'!$C$3:$C$200,MATCH(B33,'Team Master'!$B$3:$B$200,0)),"")</f>
        <v/>
      </c>
      <c r="D33" s="8"/>
      <c r="E33" s="8"/>
      <c r="F33" s="13"/>
      <c r="G33" s="13"/>
      <c r="H33" s="8">
        <f t="shared" si="0"/>
        <v>0</v>
      </c>
      <c r="I33" s="8"/>
      <c r="J33" s="8"/>
    </row>
    <row r="34" spans="1:10" ht="15" customHeight="1">
      <c r="A34" s="12"/>
      <c r="B34" s="8"/>
      <c r="C34" s="8" t="str">
        <f>IFERROR(INDEX('Team Master'!$C$3:$C$200,MATCH(B34,'Team Master'!$B$3:$B$200,0)),"")</f>
        <v/>
      </c>
      <c r="D34" s="8"/>
      <c r="E34" s="8"/>
      <c r="F34" s="13"/>
      <c r="G34" s="13"/>
      <c r="H34" s="8">
        <f t="shared" si="0"/>
        <v>0</v>
      </c>
      <c r="I34" s="8"/>
      <c r="J34" s="8"/>
    </row>
    <row r="35" spans="1:10" ht="15" customHeight="1">
      <c r="A35" s="12"/>
      <c r="B35" s="8"/>
      <c r="C35" s="8" t="str">
        <f>IFERROR(INDEX('Team Master'!$C$3:$C$200,MATCH(B35,'Team Master'!$B$3:$B$200,0)),"")</f>
        <v/>
      </c>
      <c r="D35" s="8"/>
      <c r="E35" s="8"/>
      <c r="F35" s="13"/>
      <c r="G35" s="13"/>
      <c r="H35" s="8">
        <f t="shared" si="0"/>
        <v>0</v>
      </c>
      <c r="I35" s="8"/>
      <c r="J35" s="8"/>
    </row>
    <row r="36" spans="1:10" ht="15" customHeight="1">
      <c r="A36" s="12"/>
      <c r="B36" s="8"/>
      <c r="C36" s="8" t="str">
        <f>IFERROR(INDEX('Team Master'!$C$3:$C$200,MATCH(B36,'Team Master'!$B$3:$B$200,0)),"")</f>
        <v/>
      </c>
      <c r="D36" s="8"/>
      <c r="E36" s="8"/>
      <c r="F36" s="13"/>
      <c r="G36" s="13"/>
      <c r="H36" s="8">
        <f t="shared" si="0"/>
        <v>0</v>
      </c>
      <c r="I36" s="8"/>
      <c r="J36" s="8"/>
    </row>
    <row r="37" spans="1:10" ht="15" customHeight="1">
      <c r="A37" s="12"/>
      <c r="B37" s="8"/>
      <c r="C37" s="8" t="str">
        <f>IFERROR(INDEX('Team Master'!$C$3:$C$200,MATCH(B37,'Team Master'!$B$3:$B$200,0)),"")</f>
        <v/>
      </c>
      <c r="D37" s="8"/>
      <c r="E37" s="8"/>
      <c r="F37" s="13"/>
      <c r="G37" s="13"/>
      <c r="H37" s="8">
        <f t="shared" si="0"/>
        <v>0</v>
      </c>
      <c r="I37" s="8"/>
      <c r="J37" s="8"/>
    </row>
    <row r="38" spans="1:10" ht="15" customHeight="1">
      <c r="A38" s="12"/>
      <c r="B38" s="8"/>
      <c r="C38" s="8" t="str">
        <f>IFERROR(INDEX('Team Master'!$C$3:$C$200,MATCH(B38,'Team Master'!$B$3:$B$200,0)),"")</f>
        <v/>
      </c>
      <c r="D38" s="8"/>
      <c r="E38" s="8"/>
      <c r="F38" s="13"/>
      <c r="G38" s="13"/>
      <c r="H38" s="8">
        <f t="shared" si="0"/>
        <v>0</v>
      </c>
      <c r="I38" s="8"/>
      <c r="J38" s="8"/>
    </row>
    <row r="39" spans="1:10" ht="15" customHeight="1">
      <c r="A39" s="12"/>
      <c r="B39" s="8"/>
      <c r="C39" s="8" t="str">
        <f>IFERROR(INDEX('Team Master'!$C$3:$C$200,MATCH(B39,'Team Master'!$B$3:$B$200,0)),"")</f>
        <v/>
      </c>
      <c r="D39" s="8"/>
      <c r="E39" s="8"/>
      <c r="F39" s="13"/>
      <c r="G39" s="13"/>
      <c r="H39" s="8">
        <f t="shared" si="0"/>
        <v>0</v>
      </c>
      <c r="I39" s="8"/>
      <c r="J39" s="8"/>
    </row>
    <row r="40" spans="1:10" ht="15" customHeight="1">
      <c r="A40" s="12"/>
      <c r="B40" s="8"/>
      <c r="C40" s="8" t="str">
        <f>IFERROR(INDEX('Team Master'!$C$3:$C$200,MATCH(B40,'Team Master'!$B$3:$B$200,0)),"")</f>
        <v/>
      </c>
      <c r="D40" s="8"/>
      <c r="E40" s="8"/>
      <c r="F40" s="13"/>
      <c r="G40" s="13"/>
      <c r="H40" s="8">
        <f t="shared" si="0"/>
        <v>0</v>
      </c>
      <c r="I40" s="8"/>
      <c r="J40" s="8"/>
    </row>
    <row r="41" spans="1:10" ht="15" customHeight="1">
      <c r="A41" s="12"/>
      <c r="B41" s="8"/>
      <c r="C41" s="8" t="str">
        <f>IFERROR(INDEX('Team Master'!$C$3:$C$200,MATCH(B41,'Team Master'!$B$3:$B$200,0)),"")</f>
        <v/>
      </c>
      <c r="D41" s="8"/>
      <c r="E41" s="8"/>
      <c r="F41" s="13"/>
      <c r="G41" s="13"/>
      <c r="H41" s="8">
        <f t="shared" si="0"/>
        <v>0</v>
      </c>
      <c r="I41" s="8"/>
      <c r="J41" s="8"/>
    </row>
    <row r="42" spans="1:10" ht="15" customHeight="1">
      <c r="A42" s="12"/>
      <c r="B42" s="8"/>
      <c r="C42" s="8" t="str">
        <f>IFERROR(INDEX('Team Master'!$C$3:$C$200,MATCH(B42,'Team Master'!$B$3:$B$200,0)),"")</f>
        <v/>
      </c>
      <c r="D42" s="8"/>
      <c r="E42" s="8"/>
      <c r="F42" s="13"/>
      <c r="G42" s="13"/>
      <c r="H42" s="8">
        <f t="shared" si="0"/>
        <v>0</v>
      </c>
      <c r="I42" s="8"/>
      <c r="J42" s="8"/>
    </row>
    <row r="43" spans="1:10" ht="15" customHeight="1">
      <c r="A43" s="12"/>
      <c r="B43" s="8"/>
      <c r="C43" s="8" t="str">
        <f>IFERROR(INDEX('Team Master'!$C$3:$C$200,MATCH(B43,'Team Master'!$B$3:$B$200,0)),"")</f>
        <v/>
      </c>
      <c r="D43" s="8"/>
      <c r="E43" s="8"/>
      <c r="F43" s="13"/>
      <c r="G43" s="13"/>
      <c r="H43" s="8">
        <f t="shared" si="0"/>
        <v>0</v>
      </c>
      <c r="I43" s="8"/>
      <c r="J43" s="8"/>
    </row>
    <row r="44" spans="1:10" ht="15" customHeight="1">
      <c r="A44" s="12"/>
      <c r="B44" s="8"/>
      <c r="C44" s="8" t="str">
        <f>IFERROR(INDEX('Team Master'!$C$3:$C$200,MATCH(B44,'Team Master'!$B$3:$B$200,0)),"")</f>
        <v/>
      </c>
      <c r="D44" s="8"/>
      <c r="E44" s="8"/>
      <c r="F44" s="13"/>
      <c r="G44" s="13"/>
      <c r="H44" s="8">
        <f t="shared" si="0"/>
        <v>0</v>
      </c>
      <c r="I44" s="8"/>
      <c r="J44" s="8"/>
    </row>
    <row r="45" spans="1:10" ht="15" customHeight="1">
      <c r="A45" s="12"/>
      <c r="B45" s="8"/>
      <c r="C45" s="8" t="str">
        <f>IFERROR(INDEX('Team Master'!$C$3:$C$200,MATCH(B45,'Team Master'!$B$3:$B$200,0)),"")</f>
        <v/>
      </c>
      <c r="D45" s="8"/>
      <c r="E45" s="8"/>
      <c r="F45" s="13"/>
      <c r="G45" s="13"/>
      <c r="H45" s="8">
        <f t="shared" si="0"/>
        <v>0</v>
      </c>
      <c r="I45" s="8"/>
      <c r="J45" s="8"/>
    </row>
    <row r="46" spans="1:10" ht="15" customHeight="1">
      <c r="A46" s="12"/>
      <c r="B46" s="8"/>
      <c r="C46" s="8" t="str">
        <f>IFERROR(INDEX('Team Master'!$C$3:$C$200,MATCH(B46,'Team Master'!$B$3:$B$200,0)),"")</f>
        <v/>
      </c>
      <c r="D46" s="8"/>
      <c r="E46" s="8"/>
      <c r="F46" s="13"/>
      <c r="G46" s="13"/>
      <c r="H46" s="8">
        <f t="shared" si="0"/>
        <v>0</v>
      </c>
      <c r="I46" s="8"/>
      <c r="J46" s="8"/>
    </row>
    <row r="47" spans="1:10" ht="15" customHeight="1">
      <c r="A47" s="12"/>
      <c r="B47" s="8"/>
      <c r="C47" s="8" t="str">
        <f>IFERROR(INDEX('Team Master'!$C$3:$C$200,MATCH(B47,'Team Master'!$B$3:$B$200,0)),"")</f>
        <v/>
      </c>
      <c r="D47" s="8"/>
      <c r="E47" s="8"/>
      <c r="F47" s="13"/>
      <c r="G47" s="13"/>
      <c r="H47" s="8">
        <f t="shared" si="0"/>
        <v>0</v>
      </c>
      <c r="I47" s="8"/>
      <c r="J47" s="8"/>
    </row>
    <row r="48" spans="1:10" ht="15" customHeight="1">
      <c r="A48" s="12"/>
      <c r="B48" s="8"/>
      <c r="C48" s="8" t="str">
        <f>IFERROR(INDEX('Team Master'!$C$3:$C$200,MATCH(B48,'Team Master'!$B$3:$B$200,0)),"")</f>
        <v/>
      </c>
      <c r="D48" s="8"/>
      <c r="E48" s="8"/>
      <c r="F48" s="13"/>
      <c r="G48" s="13"/>
      <c r="H48" s="8">
        <f t="shared" si="0"/>
        <v>0</v>
      </c>
      <c r="I48" s="8"/>
      <c r="J48" s="8"/>
    </row>
    <row r="49" spans="1:10" ht="15" customHeight="1">
      <c r="A49" s="12"/>
      <c r="B49" s="8"/>
      <c r="C49" s="8" t="str">
        <f>IFERROR(INDEX('Team Master'!$C$3:$C$200,MATCH(B49,'Team Master'!$B$3:$B$200,0)),"")</f>
        <v/>
      </c>
      <c r="D49" s="8"/>
      <c r="E49" s="8"/>
      <c r="F49" s="13"/>
      <c r="G49" s="13"/>
      <c r="H49" s="8">
        <f t="shared" si="0"/>
        <v>0</v>
      </c>
      <c r="I49" s="8"/>
      <c r="J49" s="8"/>
    </row>
    <row r="50" spans="1:10" ht="15" customHeight="1">
      <c r="A50" s="12"/>
      <c r="B50" s="8"/>
      <c r="C50" s="8" t="str">
        <f>IFERROR(INDEX('Team Master'!$C$3:$C$200,MATCH(B50,'Team Master'!$B$3:$B$200,0)),"")</f>
        <v/>
      </c>
      <c r="D50" s="8"/>
      <c r="E50" s="8"/>
      <c r="F50" s="13"/>
      <c r="G50" s="13"/>
      <c r="H50" s="8">
        <f t="shared" si="0"/>
        <v>0</v>
      </c>
      <c r="I50" s="8"/>
      <c r="J50" s="8"/>
    </row>
    <row r="51" spans="1:10" ht="15" customHeight="1">
      <c r="A51" s="12"/>
      <c r="B51" s="8"/>
      <c r="C51" s="8" t="str">
        <f>IFERROR(INDEX('Team Master'!$C$3:$C$200,MATCH(B51,'Team Master'!$B$3:$B$200,0)),"")</f>
        <v/>
      </c>
      <c r="D51" s="8"/>
      <c r="E51" s="8"/>
      <c r="F51" s="13"/>
      <c r="G51" s="13"/>
      <c r="H51" s="8">
        <f t="shared" si="0"/>
        <v>0</v>
      </c>
      <c r="I51" s="8"/>
      <c r="J51" s="8"/>
    </row>
    <row r="52" spans="1:10" ht="15" customHeight="1">
      <c r="A52" s="12"/>
      <c r="B52" s="8"/>
      <c r="C52" s="8" t="str">
        <f>IFERROR(INDEX('Team Master'!$C$3:$C$200,MATCH(B52,'Team Master'!$B$3:$B$200,0)),"")</f>
        <v/>
      </c>
      <c r="D52" s="8"/>
      <c r="E52" s="8"/>
      <c r="F52" s="13"/>
      <c r="G52" s="13"/>
      <c r="H52" s="8">
        <f t="shared" si="0"/>
        <v>0</v>
      </c>
      <c r="I52" s="8"/>
      <c r="J52" s="8"/>
    </row>
    <row r="53" spans="1:10" ht="15" customHeight="1">
      <c r="A53" s="12"/>
      <c r="B53" s="8"/>
      <c r="C53" s="8" t="str">
        <f>IFERROR(INDEX('Team Master'!$C$3:$C$200,MATCH(B53,'Team Master'!$B$3:$B$200,0)),"")</f>
        <v/>
      </c>
      <c r="D53" s="8"/>
      <c r="E53" s="8"/>
      <c r="F53" s="13"/>
      <c r="G53" s="13"/>
      <c r="H53" s="8">
        <f t="shared" si="0"/>
        <v>0</v>
      </c>
      <c r="I53" s="8"/>
      <c r="J53" s="8"/>
    </row>
    <row r="54" spans="1:10" ht="15" customHeight="1">
      <c r="A54" s="12"/>
      <c r="B54" s="8"/>
      <c r="C54" s="8" t="str">
        <f>IFERROR(INDEX('Team Master'!$C$3:$C$200,MATCH(B54,'Team Master'!$B$3:$B$200,0)),"")</f>
        <v/>
      </c>
      <c r="D54" s="8"/>
      <c r="E54" s="8"/>
      <c r="F54" s="13"/>
      <c r="G54" s="13"/>
      <c r="H54" s="8">
        <f t="shared" si="0"/>
        <v>0</v>
      </c>
      <c r="I54" s="8"/>
      <c r="J54" s="8"/>
    </row>
    <row r="55" spans="1:10" ht="15" customHeight="1">
      <c r="A55" s="12"/>
      <c r="B55" s="8"/>
      <c r="C55" s="8" t="str">
        <f>IFERROR(INDEX('Team Master'!$C$3:$C$200,MATCH(B55,'Team Master'!$B$3:$B$200,0)),"")</f>
        <v/>
      </c>
      <c r="D55" s="8"/>
      <c r="E55" s="8"/>
      <c r="F55" s="13"/>
      <c r="G55" s="13"/>
      <c r="H55" s="8">
        <f t="shared" si="0"/>
        <v>0</v>
      </c>
      <c r="I55" s="8"/>
      <c r="J55" s="8"/>
    </row>
    <row r="56" spans="1:10" ht="15" customHeight="1">
      <c r="A56" s="12"/>
      <c r="B56" s="8"/>
      <c r="C56" s="8" t="str">
        <f>IFERROR(INDEX('Team Master'!$C$3:$C$200,MATCH(B56,'Team Master'!$B$3:$B$200,0)),"")</f>
        <v/>
      </c>
      <c r="D56" s="8"/>
      <c r="E56" s="8"/>
      <c r="F56" s="13"/>
      <c r="G56" s="13"/>
      <c r="H56" s="8">
        <f t="shared" si="0"/>
        <v>0</v>
      </c>
      <c r="I56" s="8"/>
      <c r="J56" s="8"/>
    </row>
    <row r="57" spans="1:10" ht="15" customHeight="1">
      <c r="A57" s="12"/>
      <c r="B57" s="8"/>
      <c r="C57" s="8" t="str">
        <f>IFERROR(INDEX('Team Master'!$C$3:$C$200,MATCH(B57,'Team Master'!$B$3:$B$200,0)),"")</f>
        <v/>
      </c>
      <c r="D57" s="8"/>
      <c r="E57" s="8"/>
      <c r="F57" s="13"/>
      <c r="G57" s="13"/>
      <c r="H57" s="8">
        <f t="shared" si="0"/>
        <v>0</v>
      </c>
      <c r="I57" s="8"/>
      <c r="J57" s="8"/>
    </row>
    <row r="58" spans="1:10" ht="15" customHeight="1">
      <c r="A58" s="12"/>
      <c r="B58" s="8"/>
      <c r="C58" s="8" t="str">
        <f>IFERROR(INDEX('Team Master'!$C$3:$C$200,MATCH(B58,'Team Master'!$B$3:$B$200,0)),"")</f>
        <v/>
      </c>
      <c r="D58" s="8"/>
      <c r="E58" s="8"/>
      <c r="F58" s="13"/>
      <c r="G58" s="13"/>
      <c r="H58" s="8">
        <f t="shared" si="0"/>
        <v>0</v>
      </c>
      <c r="I58" s="8"/>
      <c r="J58" s="8"/>
    </row>
    <row r="59" spans="1:10" ht="15" customHeight="1">
      <c r="A59" s="12"/>
      <c r="B59" s="8"/>
      <c r="C59" s="8" t="str">
        <f>IFERROR(INDEX('Team Master'!$C$3:$C$200,MATCH(B59,'Team Master'!$B$3:$B$200,0)),"")</f>
        <v/>
      </c>
      <c r="D59" s="8"/>
      <c r="E59" s="8"/>
      <c r="F59" s="13"/>
      <c r="G59" s="13"/>
      <c r="H59" s="8">
        <f t="shared" si="0"/>
        <v>0</v>
      </c>
      <c r="I59" s="8"/>
      <c r="J59" s="8"/>
    </row>
    <row r="60" spans="1:10" ht="15" customHeight="1">
      <c r="A60" s="12"/>
      <c r="B60" s="8"/>
      <c r="C60" s="8" t="str">
        <f>IFERROR(INDEX('Team Master'!$C$3:$C$200,MATCH(B60,'Team Master'!$B$3:$B$200,0)),"")</f>
        <v/>
      </c>
      <c r="D60" s="8"/>
      <c r="E60" s="8"/>
      <c r="F60" s="13"/>
      <c r="G60" s="13"/>
      <c r="H60" s="8">
        <f t="shared" si="0"/>
        <v>0</v>
      </c>
      <c r="I60" s="8"/>
      <c r="J60" s="8"/>
    </row>
    <row r="61" spans="1:10" ht="15" customHeight="1">
      <c r="A61" s="12"/>
      <c r="B61" s="8"/>
      <c r="C61" s="8" t="str">
        <f>IFERROR(INDEX('Team Master'!$C$3:$C$200,MATCH(B61,'Team Master'!$B$3:$B$200,0)),"")</f>
        <v/>
      </c>
      <c r="D61" s="8"/>
      <c r="E61" s="8"/>
      <c r="F61" s="13"/>
      <c r="G61" s="13"/>
      <c r="H61" s="8">
        <f t="shared" si="0"/>
        <v>0</v>
      </c>
      <c r="I61" s="8"/>
      <c r="J61" s="8"/>
    </row>
    <row r="62" spans="1:10" ht="15" customHeight="1">
      <c r="A62" s="12"/>
      <c r="B62" s="8"/>
      <c r="C62" s="8" t="str">
        <f>IFERROR(INDEX('Team Master'!$C$3:$C$200,MATCH(B62,'Team Master'!$B$3:$B$200,0)),"")</f>
        <v/>
      </c>
      <c r="D62" s="8"/>
      <c r="E62" s="8"/>
      <c r="F62" s="13"/>
      <c r="G62" s="13"/>
      <c r="H62" s="8">
        <f t="shared" si="0"/>
        <v>0</v>
      </c>
      <c r="I62" s="8"/>
      <c r="J62" s="8"/>
    </row>
    <row r="63" spans="1:10" ht="15" customHeight="1">
      <c r="A63" s="12"/>
      <c r="B63" s="8"/>
      <c r="C63" s="8" t="str">
        <f>IFERROR(INDEX('Team Master'!$C$3:$C$200,MATCH(B63,'Team Master'!$B$3:$B$200,0)),"")</f>
        <v/>
      </c>
      <c r="D63" s="8"/>
      <c r="E63" s="8"/>
      <c r="F63" s="13"/>
      <c r="G63" s="13"/>
      <c r="H63" s="8">
        <f t="shared" si="0"/>
        <v>0</v>
      </c>
      <c r="I63" s="8"/>
      <c r="J63" s="8"/>
    </row>
    <row r="64" spans="1:10" ht="15" customHeight="1">
      <c r="A64" s="12"/>
      <c r="B64" s="8"/>
      <c r="C64" s="8" t="str">
        <f>IFERROR(INDEX('Team Master'!$C$3:$C$200,MATCH(B64,'Team Master'!$B$3:$B$200,0)),"")</f>
        <v/>
      </c>
      <c r="D64" s="8"/>
      <c r="E64" s="8"/>
      <c r="F64" s="13"/>
      <c r="G64" s="13"/>
      <c r="H64" s="8">
        <f t="shared" si="0"/>
        <v>0</v>
      </c>
      <c r="I64" s="8"/>
      <c r="J64" s="8"/>
    </row>
    <row r="65" spans="1:10" ht="15" customHeight="1">
      <c r="A65" s="12"/>
      <c r="B65" s="8"/>
      <c r="C65" s="8" t="str">
        <f>IFERROR(INDEX('Team Master'!$C$3:$C$200,MATCH(B65,'Team Master'!$B$3:$B$200,0)),"")</f>
        <v/>
      </c>
      <c r="D65" s="8"/>
      <c r="E65" s="8"/>
      <c r="F65" s="13"/>
      <c r="G65" s="13"/>
      <c r="H65" s="8">
        <f t="shared" si="0"/>
        <v>0</v>
      </c>
      <c r="I65" s="8"/>
      <c r="J65" s="8"/>
    </row>
    <row r="66" spans="1:10" ht="15" customHeight="1">
      <c r="A66" s="12"/>
      <c r="B66" s="8"/>
      <c r="C66" s="8" t="str">
        <f>IFERROR(INDEX('Team Master'!$C$3:$C$200,MATCH(B66,'Team Master'!$B$3:$B$200,0)),"")</f>
        <v/>
      </c>
      <c r="D66" s="8"/>
      <c r="E66" s="8"/>
      <c r="F66" s="13"/>
      <c r="G66" s="13"/>
      <c r="H66" s="8">
        <f t="shared" si="0"/>
        <v>0</v>
      </c>
      <c r="I66" s="8"/>
      <c r="J66" s="8"/>
    </row>
    <row r="67" spans="1:10" ht="15" customHeight="1">
      <c r="A67" s="12"/>
      <c r="B67" s="8"/>
      <c r="C67" s="8" t="str">
        <f>IFERROR(INDEX('Team Master'!$C$3:$C$200,MATCH(B67,'Team Master'!$B$3:$B$200,0)),"")</f>
        <v/>
      </c>
      <c r="D67" s="8"/>
      <c r="E67" s="8"/>
      <c r="F67" s="13"/>
      <c r="G67" s="13"/>
      <c r="H67" s="8">
        <f t="shared" si="0"/>
        <v>0</v>
      </c>
      <c r="I67" s="8"/>
      <c r="J67" s="8"/>
    </row>
    <row r="68" spans="1:10" ht="15" customHeight="1">
      <c r="A68" s="12"/>
      <c r="B68" s="8"/>
      <c r="C68" s="8" t="str">
        <f>IFERROR(INDEX('Team Master'!$C$3:$C$200,MATCH(B68,'Team Master'!$B$3:$B$200,0)),"")</f>
        <v/>
      </c>
      <c r="D68" s="8"/>
      <c r="E68" s="8"/>
      <c r="F68" s="13"/>
      <c r="G68" s="13"/>
      <c r="H68" s="8">
        <f t="shared" ref="H68:H131" si="1">IF(AND(F68&lt;&gt;"",G68&lt;&gt;""),ROUND((G68-F68)*24,2),0)</f>
        <v>0</v>
      </c>
      <c r="I68" s="8"/>
      <c r="J68" s="8"/>
    </row>
    <row r="69" spans="1:10" ht="15" customHeight="1">
      <c r="A69" s="12"/>
      <c r="B69" s="8"/>
      <c r="C69" s="8" t="str">
        <f>IFERROR(INDEX('Team Master'!$C$3:$C$200,MATCH(B69,'Team Master'!$B$3:$B$200,0)),"")</f>
        <v/>
      </c>
      <c r="D69" s="8"/>
      <c r="E69" s="8"/>
      <c r="F69" s="13"/>
      <c r="G69" s="13"/>
      <c r="H69" s="8">
        <f t="shared" si="1"/>
        <v>0</v>
      </c>
      <c r="I69" s="8"/>
      <c r="J69" s="8"/>
    </row>
    <row r="70" spans="1:10" ht="15" customHeight="1">
      <c r="A70" s="12"/>
      <c r="B70" s="8"/>
      <c r="C70" s="8" t="str">
        <f>IFERROR(INDEX('Team Master'!$C$3:$C$200,MATCH(B70,'Team Master'!$B$3:$B$200,0)),"")</f>
        <v/>
      </c>
      <c r="D70" s="8"/>
      <c r="E70" s="8"/>
      <c r="F70" s="13"/>
      <c r="G70" s="13"/>
      <c r="H70" s="8">
        <f t="shared" si="1"/>
        <v>0</v>
      </c>
      <c r="I70" s="8"/>
      <c r="J70" s="8"/>
    </row>
    <row r="71" spans="1:10" ht="15" customHeight="1">
      <c r="A71" s="12"/>
      <c r="B71" s="8"/>
      <c r="C71" s="8" t="str">
        <f>IFERROR(INDEX('Team Master'!$C$3:$C$200,MATCH(B71,'Team Master'!$B$3:$B$200,0)),"")</f>
        <v/>
      </c>
      <c r="D71" s="8"/>
      <c r="E71" s="8"/>
      <c r="F71" s="13"/>
      <c r="G71" s="13"/>
      <c r="H71" s="8">
        <f t="shared" si="1"/>
        <v>0</v>
      </c>
      <c r="I71" s="8"/>
      <c r="J71" s="8"/>
    </row>
    <row r="72" spans="1:10" ht="15" customHeight="1">
      <c r="A72" s="12"/>
      <c r="B72" s="8"/>
      <c r="C72" s="8" t="str">
        <f>IFERROR(INDEX('Team Master'!$C$3:$C$200,MATCH(B72,'Team Master'!$B$3:$B$200,0)),"")</f>
        <v/>
      </c>
      <c r="D72" s="8"/>
      <c r="E72" s="8"/>
      <c r="F72" s="13"/>
      <c r="G72" s="13"/>
      <c r="H72" s="8">
        <f t="shared" si="1"/>
        <v>0</v>
      </c>
      <c r="I72" s="8"/>
      <c r="J72" s="8"/>
    </row>
    <row r="73" spans="1:10" ht="15" customHeight="1">
      <c r="A73" s="12"/>
      <c r="B73" s="8"/>
      <c r="C73" s="8" t="str">
        <f>IFERROR(INDEX('Team Master'!$C$3:$C$200,MATCH(B73,'Team Master'!$B$3:$B$200,0)),"")</f>
        <v/>
      </c>
      <c r="D73" s="8"/>
      <c r="E73" s="8"/>
      <c r="F73" s="13"/>
      <c r="G73" s="13"/>
      <c r="H73" s="8">
        <f t="shared" si="1"/>
        <v>0</v>
      </c>
      <c r="I73" s="8"/>
      <c r="J73" s="8"/>
    </row>
    <row r="74" spans="1:10" ht="15" customHeight="1">
      <c r="A74" s="12"/>
      <c r="B74" s="8"/>
      <c r="C74" s="8" t="str">
        <f>IFERROR(INDEX('Team Master'!$C$3:$C$200,MATCH(B74,'Team Master'!$B$3:$B$200,0)),"")</f>
        <v/>
      </c>
      <c r="D74" s="8"/>
      <c r="E74" s="8"/>
      <c r="F74" s="13"/>
      <c r="G74" s="13"/>
      <c r="H74" s="8">
        <f t="shared" si="1"/>
        <v>0</v>
      </c>
      <c r="I74" s="8"/>
      <c r="J74" s="8"/>
    </row>
    <row r="75" spans="1:10" ht="15" customHeight="1">
      <c r="A75" s="12"/>
      <c r="B75" s="8"/>
      <c r="C75" s="8" t="str">
        <f>IFERROR(INDEX('Team Master'!$C$3:$C$200,MATCH(B75,'Team Master'!$B$3:$B$200,0)),"")</f>
        <v/>
      </c>
      <c r="D75" s="8"/>
      <c r="E75" s="8"/>
      <c r="F75" s="13"/>
      <c r="G75" s="13"/>
      <c r="H75" s="8">
        <f t="shared" si="1"/>
        <v>0</v>
      </c>
      <c r="I75" s="8"/>
      <c r="J75" s="8"/>
    </row>
    <row r="76" spans="1:10" ht="15" customHeight="1">
      <c r="A76" s="12"/>
      <c r="B76" s="8"/>
      <c r="C76" s="8" t="str">
        <f>IFERROR(INDEX('Team Master'!$C$3:$C$200,MATCH(B76,'Team Master'!$B$3:$B$200,0)),"")</f>
        <v/>
      </c>
      <c r="D76" s="8"/>
      <c r="E76" s="8"/>
      <c r="F76" s="13"/>
      <c r="G76" s="13"/>
      <c r="H76" s="8">
        <f t="shared" si="1"/>
        <v>0</v>
      </c>
      <c r="I76" s="8"/>
      <c r="J76" s="8"/>
    </row>
    <row r="77" spans="1:10" ht="15" customHeight="1">
      <c r="A77" s="12"/>
      <c r="B77" s="8"/>
      <c r="C77" s="8" t="str">
        <f>IFERROR(INDEX('Team Master'!$C$3:$C$200,MATCH(B77,'Team Master'!$B$3:$B$200,0)),"")</f>
        <v/>
      </c>
      <c r="D77" s="8"/>
      <c r="E77" s="8"/>
      <c r="F77" s="13"/>
      <c r="G77" s="13"/>
      <c r="H77" s="8">
        <f t="shared" si="1"/>
        <v>0</v>
      </c>
      <c r="I77" s="8"/>
      <c r="J77" s="8"/>
    </row>
    <row r="78" spans="1:10" ht="15" customHeight="1">
      <c r="A78" s="12"/>
      <c r="B78" s="8"/>
      <c r="C78" s="8" t="str">
        <f>IFERROR(INDEX('Team Master'!$C$3:$C$200,MATCH(B78,'Team Master'!$B$3:$B$200,0)),"")</f>
        <v/>
      </c>
      <c r="D78" s="8"/>
      <c r="E78" s="8"/>
      <c r="F78" s="13"/>
      <c r="G78" s="13"/>
      <c r="H78" s="8">
        <f t="shared" si="1"/>
        <v>0</v>
      </c>
      <c r="I78" s="8"/>
      <c r="J78" s="8"/>
    </row>
    <row r="79" spans="1:10" ht="15" customHeight="1">
      <c r="A79" s="12"/>
      <c r="B79" s="8"/>
      <c r="C79" s="8" t="str">
        <f>IFERROR(INDEX('Team Master'!$C$3:$C$200,MATCH(B79,'Team Master'!$B$3:$B$200,0)),"")</f>
        <v/>
      </c>
      <c r="D79" s="8"/>
      <c r="E79" s="8"/>
      <c r="F79" s="13"/>
      <c r="G79" s="13"/>
      <c r="H79" s="8">
        <f t="shared" si="1"/>
        <v>0</v>
      </c>
      <c r="I79" s="8"/>
      <c r="J79" s="8"/>
    </row>
    <row r="80" spans="1:10" ht="15" customHeight="1">
      <c r="A80" s="12"/>
      <c r="B80" s="8"/>
      <c r="C80" s="8" t="str">
        <f>IFERROR(INDEX('Team Master'!$C$3:$C$200,MATCH(B80,'Team Master'!$B$3:$B$200,0)),"")</f>
        <v/>
      </c>
      <c r="D80" s="8"/>
      <c r="E80" s="8"/>
      <c r="F80" s="13"/>
      <c r="G80" s="13"/>
      <c r="H80" s="8">
        <f t="shared" si="1"/>
        <v>0</v>
      </c>
      <c r="I80" s="8"/>
      <c r="J80" s="8"/>
    </row>
    <row r="81" spans="1:10" ht="15" customHeight="1">
      <c r="A81" s="12"/>
      <c r="B81" s="8"/>
      <c r="C81" s="8" t="str">
        <f>IFERROR(INDEX('Team Master'!$C$3:$C$200,MATCH(B81,'Team Master'!$B$3:$B$200,0)),"")</f>
        <v/>
      </c>
      <c r="D81" s="8"/>
      <c r="E81" s="8"/>
      <c r="F81" s="13"/>
      <c r="G81" s="13"/>
      <c r="H81" s="8">
        <f t="shared" si="1"/>
        <v>0</v>
      </c>
      <c r="I81" s="8"/>
      <c r="J81" s="8"/>
    </row>
    <row r="82" spans="1:10" ht="15" customHeight="1">
      <c r="A82" s="12"/>
      <c r="B82" s="8"/>
      <c r="C82" s="8" t="str">
        <f>IFERROR(INDEX('Team Master'!$C$3:$C$200,MATCH(B82,'Team Master'!$B$3:$B$200,0)),"")</f>
        <v/>
      </c>
      <c r="D82" s="8"/>
      <c r="E82" s="8"/>
      <c r="F82" s="13"/>
      <c r="G82" s="13"/>
      <c r="H82" s="8">
        <f t="shared" si="1"/>
        <v>0</v>
      </c>
      <c r="I82" s="8"/>
      <c r="J82" s="8"/>
    </row>
    <row r="83" spans="1:10" ht="15" customHeight="1">
      <c r="A83" s="12"/>
      <c r="B83" s="8"/>
      <c r="C83" s="8" t="str">
        <f>IFERROR(INDEX('Team Master'!$C$3:$C$200,MATCH(B83,'Team Master'!$B$3:$B$200,0)),"")</f>
        <v/>
      </c>
      <c r="D83" s="8"/>
      <c r="E83" s="8"/>
      <c r="F83" s="13"/>
      <c r="G83" s="13"/>
      <c r="H83" s="8">
        <f t="shared" si="1"/>
        <v>0</v>
      </c>
      <c r="I83" s="8"/>
      <c r="J83" s="8"/>
    </row>
    <row r="84" spans="1:10" ht="15" customHeight="1">
      <c r="A84" s="12"/>
      <c r="B84" s="8"/>
      <c r="C84" s="8" t="str">
        <f>IFERROR(INDEX('Team Master'!$C$3:$C$200,MATCH(B84,'Team Master'!$B$3:$B$200,0)),"")</f>
        <v/>
      </c>
      <c r="D84" s="8"/>
      <c r="E84" s="8"/>
      <c r="F84" s="13"/>
      <c r="G84" s="13"/>
      <c r="H84" s="8">
        <f t="shared" si="1"/>
        <v>0</v>
      </c>
      <c r="I84" s="8"/>
      <c r="J84" s="8"/>
    </row>
    <row r="85" spans="1:10" ht="15" customHeight="1">
      <c r="A85" s="12"/>
      <c r="B85" s="8"/>
      <c r="C85" s="8" t="str">
        <f>IFERROR(INDEX('Team Master'!$C$3:$C$200,MATCH(B85,'Team Master'!$B$3:$B$200,0)),"")</f>
        <v/>
      </c>
      <c r="D85" s="8"/>
      <c r="E85" s="8"/>
      <c r="F85" s="13"/>
      <c r="G85" s="13"/>
      <c r="H85" s="8">
        <f t="shared" si="1"/>
        <v>0</v>
      </c>
      <c r="I85" s="8"/>
      <c r="J85" s="8"/>
    </row>
    <row r="86" spans="1:10" ht="15" customHeight="1">
      <c r="A86" s="12"/>
      <c r="B86" s="8"/>
      <c r="C86" s="8" t="str">
        <f>IFERROR(INDEX('Team Master'!$C$3:$C$200,MATCH(B86,'Team Master'!$B$3:$B$200,0)),"")</f>
        <v/>
      </c>
      <c r="D86" s="8"/>
      <c r="E86" s="8"/>
      <c r="F86" s="13"/>
      <c r="G86" s="13"/>
      <c r="H86" s="8">
        <f t="shared" si="1"/>
        <v>0</v>
      </c>
      <c r="I86" s="8"/>
      <c r="J86" s="8"/>
    </row>
    <row r="87" spans="1:10" ht="15" customHeight="1">
      <c r="A87" s="12"/>
      <c r="B87" s="8"/>
      <c r="C87" s="8" t="str">
        <f>IFERROR(INDEX('Team Master'!$C$3:$C$200,MATCH(B87,'Team Master'!$B$3:$B$200,0)),"")</f>
        <v/>
      </c>
      <c r="D87" s="8"/>
      <c r="E87" s="8"/>
      <c r="F87" s="13"/>
      <c r="G87" s="13"/>
      <c r="H87" s="8">
        <f t="shared" si="1"/>
        <v>0</v>
      </c>
      <c r="I87" s="8"/>
      <c r="J87" s="8"/>
    </row>
    <row r="88" spans="1:10" ht="15" customHeight="1">
      <c r="A88" s="12"/>
      <c r="B88" s="8"/>
      <c r="C88" s="8" t="str">
        <f>IFERROR(INDEX('Team Master'!$C$3:$C$200,MATCH(B88,'Team Master'!$B$3:$B$200,0)),"")</f>
        <v/>
      </c>
      <c r="D88" s="8"/>
      <c r="E88" s="8"/>
      <c r="F88" s="13"/>
      <c r="G88" s="13"/>
      <c r="H88" s="8">
        <f t="shared" si="1"/>
        <v>0</v>
      </c>
      <c r="I88" s="8"/>
      <c r="J88" s="8"/>
    </row>
    <row r="89" spans="1:10" ht="15" customHeight="1">
      <c r="A89" s="12"/>
      <c r="B89" s="8"/>
      <c r="C89" s="8" t="str">
        <f>IFERROR(INDEX('Team Master'!$C$3:$C$200,MATCH(B89,'Team Master'!$B$3:$B$200,0)),"")</f>
        <v/>
      </c>
      <c r="D89" s="8"/>
      <c r="E89" s="8"/>
      <c r="F89" s="13"/>
      <c r="G89" s="13"/>
      <c r="H89" s="8">
        <f t="shared" si="1"/>
        <v>0</v>
      </c>
      <c r="I89" s="8"/>
      <c r="J89" s="8"/>
    </row>
    <row r="90" spans="1:10" ht="15" customHeight="1">
      <c r="A90" s="12"/>
      <c r="B90" s="8"/>
      <c r="C90" s="8" t="str">
        <f>IFERROR(INDEX('Team Master'!$C$3:$C$200,MATCH(B90,'Team Master'!$B$3:$B$200,0)),"")</f>
        <v/>
      </c>
      <c r="D90" s="8"/>
      <c r="E90" s="8"/>
      <c r="F90" s="13"/>
      <c r="G90" s="13"/>
      <c r="H90" s="8">
        <f t="shared" si="1"/>
        <v>0</v>
      </c>
      <c r="I90" s="8"/>
      <c r="J90" s="8"/>
    </row>
    <row r="91" spans="1:10" ht="15" customHeight="1">
      <c r="A91" s="12"/>
      <c r="B91" s="8"/>
      <c r="C91" s="8" t="str">
        <f>IFERROR(INDEX('Team Master'!$C$3:$C$200,MATCH(B91,'Team Master'!$B$3:$B$200,0)),"")</f>
        <v/>
      </c>
      <c r="D91" s="8"/>
      <c r="E91" s="8"/>
      <c r="F91" s="13"/>
      <c r="G91" s="13"/>
      <c r="H91" s="8">
        <f t="shared" si="1"/>
        <v>0</v>
      </c>
      <c r="I91" s="8"/>
      <c r="J91" s="8"/>
    </row>
    <row r="92" spans="1:10" ht="15" customHeight="1">
      <c r="A92" s="12"/>
      <c r="B92" s="8"/>
      <c r="C92" s="8" t="str">
        <f>IFERROR(INDEX('Team Master'!$C$3:$C$200,MATCH(B92,'Team Master'!$B$3:$B$200,0)),"")</f>
        <v/>
      </c>
      <c r="D92" s="8"/>
      <c r="E92" s="8"/>
      <c r="F92" s="13"/>
      <c r="G92" s="13"/>
      <c r="H92" s="8">
        <f t="shared" si="1"/>
        <v>0</v>
      </c>
      <c r="I92" s="8"/>
      <c r="J92" s="8"/>
    </row>
    <row r="93" spans="1:10" ht="15" customHeight="1">
      <c r="A93" s="12"/>
      <c r="B93" s="8"/>
      <c r="C93" s="8" t="str">
        <f>IFERROR(INDEX('Team Master'!$C$3:$C$200,MATCH(B93,'Team Master'!$B$3:$B$200,0)),"")</f>
        <v/>
      </c>
      <c r="D93" s="8"/>
      <c r="E93" s="8"/>
      <c r="F93" s="13"/>
      <c r="G93" s="13"/>
      <c r="H93" s="8">
        <f t="shared" si="1"/>
        <v>0</v>
      </c>
      <c r="I93" s="8"/>
      <c r="J93" s="8"/>
    </row>
    <row r="94" spans="1:10" ht="15" customHeight="1">
      <c r="A94" s="12"/>
      <c r="B94" s="8"/>
      <c r="C94" s="8" t="str">
        <f>IFERROR(INDEX('Team Master'!$C$3:$C$200,MATCH(B94,'Team Master'!$B$3:$B$200,0)),"")</f>
        <v/>
      </c>
      <c r="D94" s="8"/>
      <c r="E94" s="8"/>
      <c r="F94" s="13"/>
      <c r="G94" s="13"/>
      <c r="H94" s="8">
        <f t="shared" si="1"/>
        <v>0</v>
      </c>
      <c r="I94" s="8"/>
      <c r="J94" s="8"/>
    </row>
    <row r="95" spans="1:10" ht="15" customHeight="1">
      <c r="A95" s="12"/>
      <c r="B95" s="8"/>
      <c r="C95" s="8" t="str">
        <f>IFERROR(INDEX('Team Master'!$C$3:$C$200,MATCH(B95,'Team Master'!$B$3:$B$200,0)),"")</f>
        <v/>
      </c>
      <c r="D95" s="8"/>
      <c r="E95" s="8"/>
      <c r="F95" s="13"/>
      <c r="G95" s="13"/>
      <c r="H95" s="8">
        <f t="shared" si="1"/>
        <v>0</v>
      </c>
      <c r="I95" s="8"/>
      <c r="J95" s="8"/>
    </row>
    <row r="96" spans="1:10" ht="15" customHeight="1">
      <c r="A96" s="12"/>
      <c r="B96" s="8"/>
      <c r="C96" s="8" t="str">
        <f>IFERROR(INDEX('Team Master'!$C$3:$C$200,MATCH(B96,'Team Master'!$B$3:$B$200,0)),"")</f>
        <v/>
      </c>
      <c r="D96" s="8"/>
      <c r="E96" s="8"/>
      <c r="F96" s="13"/>
      <c r="G96" s="13"/>
      <c r="H96" s="8">
        <f t="shared" si="1"/>
        <v>0</v>
      </c>
      <c r="I96" s="8"/>
      <c r="J96" s="8"/>
    </row>
    <row r="97" spans="1:10" ht="15" customHeight="1">
      <c r="A97" s="12"/>
      <c r="B97" s="8"/>
      <c r="C97" s="8" t="str">
        <f>IFERROR(INDEX('Team Master'!$C$3:$C$200,MATCH(B97,'Team Master'!$B$3:$B$200,0)),"")</f>
        <v/>
      </c>
      <c r="D97" s="8"/>
      <c r="E97" s="8"/>
      <c r="F97" s="13"/>
      <c r="G97" s="13"/>
      <c r="H97" s="8">
        <f t="shared" si="1"/>
        <v>0</v>
      </c>
      <c r="I97" s="8"/>
      <c r="J97" s="8"/>
    </row>
    <row r="98" spans="1:10" ht="15" customHeight="1">
      <c r="A98" s="12"/>
      <c r="B98" s="8"/>
      <c r="C98" s="8" t="str">
        <f>IFERROR(INDEX('Team Master'!$C$3:$C$200,MATCH(B98,'Team Master'!$B$3:$B$200,0)),"")</f>
        <v/>
      </c>
      <c r="D98" s="8"/>
      <c r="E98" s="8"/>
      <c r="F98" s="13"/>
      <c r="G98" s="13"/>
      <c r="H98" s="8">
        <f t="shared" si="1"/>
        <v>0</v>
      </c>
      <c r="I98" s="8"/>
      <c r="J98" s="8"/>
    </row>
    <row r="99" spans="1:10" ht="15" customHeight="1">
      <c r="A99" s="12"/>
      <c r="B99" s="8"/>
      <c r="C99" s="8" t="str">
        <f>IFERROR(INDEX('Team Master'!$C$3:$C$200,MATCH(B99,'Team Master'!$B$3:$B$200,0)),"")</f>
        <v/>
      </c>
      <c r="D99" s="8"/>
      <c r="E99" s="8"/>
      <c r="F99" s="13"/>
      <c r="G99" s="13"/>
      <c r="H99" s="8">
        <f t="shared" si="1"/>
        <v>0</v>
      </c>
      <c r="I99" s="8"/>
      <c r="J99" s="8"/>
    </row>
    <row r="100" spans="1:10" ht="15" customHeight="1">
      <c r="A100" s="12"/>
      <c r="B100" s="8"/>
      <c r="C100" s="8" t="str">
        <f>IFERROR(INDEX('Team Master'!$C$3:$C$200,MATCH(B100,'Team Master'!$B$3:$B$200,0)),"")</f>
        <v/>
      </c>
      <c r="D100" s="8"/>
      <c r="E100" s="8"/>
      <c r="F100" s="13"/>
      <c r="G100" s="13"/>
      <c r="H100" s="8">
        <f t="shared" si="1"/>
        <v>0</v>
      </c>
      <c r="I100" s="8"/>
      <c r="J100" s="8"/>
    </row>
    <row r="101" spans="1:10" ht="15" customHeight="1">
      <c r="A101" s="12"/>
      <c r="B101" s="8"/>
      <c r="C101" s="8" t="str">
        <f>IFERROR(INDEX('Team Master'!$C$3:$C$200,MATCH(B101,'Team Master'!$B$3:$B$200,0)),"")</f>
        <v/>
      </c>
      <c r="D101" s="8"/>
      <c r="E101" s="8"/>
      <c r="F101" s="13"/>
      <c r="G101" s="13"/>
      <c r="H101" s="8">
        <f t="shared" si="1"/>
        <v>0</v>
      </c>
      <c r="I101" s="8"/>
      <c r="J101" s="8"/>
    </row>
    <row r="102" spans="1:10" ht="15" customHeight="1">
      <c r="A102" s="12"/>
      <c r="B102" s="8"/>
      <c r="C102" s="8" t="str">
        <f>IFERROR(INDEX('Team Master'!$C$3:$C$200,MATCH(B102,'Team Master'!$B$3:$B$200,0)),"")</f>
        <v/>
      </c>
      <c r="D102" s="8"/>
      <c r="E102" s="8"/>
      <c r="F102" s="13"/>
      <c r="G102" s="13"/>
      <c r="H102" s="8">
        <f t="shared" si="1"/>
        <v>0</v>
      </c>
      <c r="I102" s="8"/>
      <c r="J102" s="8"/>
    </row>
    <row r="103" spans="1:10" ht="15" customHeight="1">
      <c r="A103" s="12"/>
      <c r="B103" s="8"/>
      <c r="C103" s="8" t="str">
        <f>IFERROR(INDEX('Team Master'!$C$3:$C$200,MATCH(B103,'Team Master'!$B$3:$B$200,0)),"")</f>
        <v/>
      </c>
      <c r="D103" s="8"/>
      <c r="E103" s="8"/>
      <c r="F103" s="13"/>
      <c r="G103" s="13"/>
      <c r="H103" s="8">
        <f t="shared" si="1"/>
        <v>0</v>
      </c>
      <c r="I103" s="8"/>
      <c r="J103" s="8"/>
    </row>
    <row r="104" spans="1:10" ht="15" customHeight="1">
      <c r="A104" s="12"/>
      <c r="B104" s="8"/>
      <c r="C104" s="8" t="str">
        <f>IFERROR(INDEX('Team Master'!$C$3:$C$200,MATCH(B104,'Team Master'!$B$3:$B$200,0)),"")</f>
        <v/>
      </c>
      <c r="D104" s="8"/>
      <c r="E104" s="8"/>
      <c r="F104" s="13"/>
      <c r="G104" s="13"/>
      <c r="H104" s="8">
        <f t="shared" si="1"/>
        <v>0</v>
      </c>
      <c r="I104" s="8"/>
      <c r="J104" s="8"/>
    </row>
    <row r="105" spans="1:10" ht="15" customHeight="1">
      <c r="A105" s="12"/>
      <c r="B105" s="8"/>
      <c r="C105" s="8" t="str">
        <f>IFERROR(INDEX('Team Master'!$C$3:$C$200,MATCH(B105,'Team Master'!$B$3:$B$200,0)),"")</f>
        <v/>
      </c>
      <c r="D105" s="8"/>
      <c r="E105" s="8"/>
      <c r="F105" s="13"/>
      <c r="G105" s="13"/>
      <c r="H105" s="8">
        <f t="shared" si="1"/>
        <v>0</v>
      </c>
      <c r="I105" s="8"/>
      <c r="J105" s="8"/>
    </row>
    <row r="106" spans="1:10" ht="15" customHeight="1">
      <c r="A106" s="12"/>
      <c r="B106" s="8"/>
      <c r="C106" s="8" t="str">
        <f>IFERROR(INDEX('Team Master'!$C$3:$C$200,MATCH(B106,'Team Master'!$B$3:$B$200,0)),"")</f>
        <v/>
      </c>
      <c r="D106" s="8"/>
      <c r="E106" s="8"/>
      <c r="F106" s="13"/>
      <c r="G106" s="13"/>
      <c r="H106" s="8">
        <f t="shared" si="1"/>
        <v>0</v>
      </c>
      <c r="I106" s="8"/>
      <c r="J106" s="8"/>
    </row>
    <row r="107" spans="1:10" ht="15" customHeight="1">
      <c r="A107" s="12"/>
      <c r="B107" s="8"/>
      <c r="C107" s="8" t="str">
        <f>IFERROR(INDEX('Team Master'!$C$3:$C$200,MATCH(B107,'Team Master'!$B$3:$B$200,0)),"")</f>
        <v/>
      </c>
      <c r="D107" s="8"/>
      <c r="E107" s="8"/>
      <c r="F107" s="13"/>
      <c r="G107" s="13"/>
      <c r="H107" s="8">
        <f t="shared" si="1"/>
        <v>0</v>
      </c>
      <c r="I107" s="8"/>
      <c r="J107" s="8"/>
    </row>
    <row r="108" spans="1:10" ht="15" customHeight="1">
      <c r="A108" s="12"/>
      <c r="B108" s="8"/>
      <c r="C108" s="8" t="str">
        <f>IFERROR(INDEX('Team Master'!$C$3:$C$200,MATCH(B108,'Team Master'!$B$3:$B$200,0)),"")</f>
        <v/>
      </c>
      <c r="D108" s="8"/>
      <c r="E108" s="8"/>
      <c r="F108" s="13"/>
      <c r="G108" s="13"/>
      <c r="H108" s="8">
        <f t="shared" si="1"/>
        <v>0</v>
      </c>
      <c r="I108" s="8"/>
      <c r="J108" s="8"/>
    </row>
    <row r="109" spans="1:10" ht="15" customHeight="1">
      <c r="A109" s="12"/>
      <c r="B109" s="8"/>
      <c r="C109" s="8" t="str">
        <f>IFERROR(INDEX('Team Master'!$C$3:$C$200,MATCH(B109,'Team Master'!$B$3:$B$200,0)),"")</f>
        <v/>
      </c>
      <c r="D109" s="8"/>
      <c r="E109" s="8"/>
      <c r="F109" s="13"/>
      <c r="G109" s="13"/>
      <c r="H109" s="8">
        <f t="shared" si="1"/>
        <v>0</v>
      </c>
      <c r="I109" s="8"/>
      <c r="J109" s="8"/>
    </row>
    <row r="110" spans="1:10" ht="15" customHeight="1">
      <c r="A110" s="12"/>
      <c r="B110" s="8"/>
      <c r="C110" s="8" t="str">
        <f>IFERROR(INDEX('Team Master'!$C$3:$C$200,MATCH(B110,'Team Master'!$B$3:$B$200,0)),"")</f>
        <v/>
      </c>
      <c r="D110" s="8"/>
      <c r="E110" s="8"/>
      <c r="F110" s="13"/>
      <c r="G110" s="13"/>
      <c r="H110" s="8">
        <f t="shared" si="1"/>
        <v>0</v>
      </c>
      <c r="I110" s="8"/>
      <c r="J110" s="8"/>
    </row>
    <row r="111" spans="1:10" ht="15" customHeight="1">
      <c r="A111" s="12"/>
      <c r="B111" s="8"/>
      <c r="C111" s="8" t="str">
        <f>IFERROR(INDEX('Team Master'!$C$3:$C$200,MATCH(B111,'Team Master'!$B$3:$B$200,0)),"")</f>
        <v/>
      </c>
      <c r="D111" s="8"/>
      <c r="E111" s="8"/>
      <c r="F111" s="13"/>
      <c r="G111" s="13"/>
      <c r="H111" s="8">
        <f t="shared" si="1"/>
        <v>0</v>
      </c>
      <c r="I111" s="8"/>
      <c r="J111" s="8"/>
    </row>
    <row r="112" spans="1:10" ht="15" customHeight="1">
      <c r="A112" s="12"/>
      <c r="B112" s="8"/>
      <c r="C112" s="8" t="str">
        <f>IFERROR(INDEX('Team Master'!$C$3:$C$200,MATCH(B112,'Team Master'!$B$3:$B$200,0)),"")</f>
        <v/>
      </c>
      <c r="D112" s="8"/>
      <c r="E112" s="8"/>
      <c r="F112" s="13"/>
      <c r="G112" s="13"/>
      <c r="H112" s="8">
        <f t="shared" si="1"/>
        <v>0</v>
      </c>
      <c r="I112" s="8"/>
      <c r="J112" s="8"/>
    </row>
    <row r="113" spans="1:10" ht="15" customHeight="1">
      <c r="A113" s="12"/>
      <c r="B113" s="8"/>
      <c r="C113" s="8" t="str">
        <f>IFERROR(INDEX('Team Master'!$C$3:$C$200,MATCH(B113,'Team Master'!$B$3:$B$200,0)),"")</f>
        <v/>
      </c>
      <c r="D113" s="8"/>
      <c r="E113" s="8"/>
      <c r="F113" s="13"/>
      <c r="G113" s="13"/>
      <c r="H113" s="8">
        <f t="shared" si="1"/>
        <v>0</v>
      </c>
      <c r="I113" s="8"/>
      <c r="J113" s="8"/>
    </row>
    <row r="114" spans="1:10" ht="15" customHeight="1">
      <c r="A114" s="12"/>
      <c r="B114" s="8"/>
      <c r="C114" s="8" t="str">
        <f>IFERROR(INDEX('Team Master'!$C$3:$C$200,MATCH(B114,'Team Master'!$B$3:$B$200,0)),"")</f>
        <v/>
      </c>
      <c r="D114" s="8"/>
      <c r="E114" s="8"/>
      <c r="F114" s="13"/>
      <c r="G114" s="13"/>
      <c r="H114" s="8">
        <f t="shared" si="1"/>
        <v>0</v>
      </c>
      <c r="I114" s="8"/>
      <c r="J114" s="8"/>
    </row>
    <row r="115" spans="1:10" ht="15" customHeight="1">
      <c r="A115" s="12"/>
      <c r="B115" s="8"/>
      <c r="C115" s="8" t="str">
        <f>IFERROR(INDEX('Team Master'!$C$3:$C$200,MATCH(B115,'Team Master'!$B$3:$B$200,0)),"")</f>
        <v/>
      </c>
      <c r="D115" s="8"/>
      <c r="E115" s="8"/>
      <c r="F115" s="13"/>
      <c r="G115" s="13"/>
      <c r="H115" s="8">
        <f t="shared" si="1"/>
        <v>0</v>
      </c>
      <c r="I115" s="8"/>
      <c r="J115" s="8"/>
    </row>
    <row r="116" spans="1:10" ht="15" customHeight="1">
      <c r="A116" s="12"/>
      <c r="B116" s="8"/>
      <c r="C116" s="8" t="str">
        <f>IFERROR(INDEX('Team Master'!$C$3:$C$200,MATCH(B116,'Team Master'!$B$3:$B$200,0)),"")</f>
        <v/>
      </c>
      <c r="D116" s="8"/>
      <c r="E116" s="8"/>
      <c r="F116" s="13"/>
      <c r="G116" s="13"/>
      <c r="H116" s="8">
        <f t="shared" si="1"/>
        <v>0</v>
      </c>
      <c r="I116" s="8"/>
      <c r="J116" s="8"/>
    </row>
    <row r="117" spans="1:10" ht="15" customHeight="1">
      <c r="A117" s="12"/>
      <c r="B117" s="8"/>
      <c r="C117" s="8" t="str">
        <f>IFERROR(INDEX('Team Master'!$C$3:$C$200,MATCH(B117,'Team Master'!$B$3:$B$200,0)),"")</f>
        <v/>
      </c>
      <c r="D117" s="8"/>
      <c r="E117" s="8"/>
      <c r="F117" s="13"/>
      <c r="G117" s="13"/>
      <c r="H117" s="8">
        <f t="shared" si="1"/>
        <v>0</v>
      </c>
      <c r="I117" s="8"/>
      <c r="J117" s="8"/>
    </row>
    <row r="118" spans="1:10" ht="15" customHeight="1">
      <c r="A118" s="12"/>
      <c r="B118" s="8"/>
      <c r="C118" s="8" t="str">
        <f>IFERROR(INDEX('Team Master'!$C$3:$C$200,MATCH(B118,'Team Master'!$B$3:$B$200,0)),"")</f>
        <v/>
      </c>
      <c r="D118" s="8"/>
      <c r="E118" s="8"/>
      <c r="F118" s="13"/>
      <c r="G118" s="13"/>
      <c r="H118" s="8">
        <f t="shared" si="1"/>
        <v>0</v>
      </c>
      <c r="I118" s="8"/>
      <c r="J118" s="8"/>
    </row>
    <row r="119" spans="1:10" ht="15" customHeight="1">
      <c r="A119" s="12"/>
      <c r="B119" s="8"/>
      <c r="C119" s="8" t="str">
        <f>IFERROR(INDEX('Team Master'!$C$3:$C$200,MATCH(B119,'Team Master'!$B$3:$B$200,0)),"")</f>
        <v/>
      </c>
      <c r="D119" s="8"/>
      <c r="E119" s="8"/>
      <c r="F119" s="13"/>
      <c r="G119" s="13"/>
      <c r="H119" s="8">
        <f t="shared" si="1"/>
        <v>0</v>
      </c>
      <c r="I119" s="8"/>
      <c r="J119" s="8"/>
    </row>
    <row r="120" spans="1:10" ht="15" customHeight="1">
      <c r="A120" s="12"/>
      <c r="B120" s="8"/>
      <c r="C120" s="8" t="str">
        <f>IFERROR(INDEX('Team Master'!$C$3:$C$200,MATCH(B120,'Team Master'!$B$3:$B$200,0)),"")</f>
        <v/>
      </c>
      <c r="D120" s="8"/>
      <c r="E120" s="8"/>
      <c r="F120" s="13"/>
      <c r="G120" s="13"/>
      <c r="H120" s="8">
        <f t="shared" si="1"/>
        <v>0</v>
      </c>
      <c r="I120" s="8"/>
      <c r="J120" s="8"/>
    </row>
    <row r="121" spans="1:10" ht="15" customHeight="1">
      <c r="A121" s="12"/>
      <c r="B121" s="8"/>
      <c r="C121" s="8" t="str">
        <f>IFERROR(INDEX('Team Master'!$C$3:$C$200,MATCH(B121,'Team Master'!$B$3:$B$200,0)),"")</f>
        <v/>
      </c>
      <c r="D121" s="8"/>
      <c r="E121" s="8"/>
      <c r="F121" s="13"/>
      <c r="G121" s="13"/>
      <c r="H121" s="8">
        <f t="shared" si="1"/>
        <v>0</v>
      </c>
      <c r="I121" s="8"/>
      <c r="J121" s="8"/>
    </row>
    <row r="122" spans="1:10" ht="15" customHeight="1">
      <c r="A122" s="12"/>
      <c r="B122" s="8"/>
      <c r="C122" s="8" t="str">
        <f>IFERROR(INDEX('Team Master'!$C$3:$C$200,MATCH(B122,'Team Master'!$B$3:$B$200,0)),"")</f>
        <v/>
      </c>
      <c r="D122" s="8"/>
      <c r="E122" s="8"/>
      <c r="F122" s="13"/>
      <c r="G122" s="13"/>
      <c r="H122" s="8">
        <f t="shared" si="1"/>
        <v>0</v>
      </c>
      <c r="I122" s="8"/>
      <c r="J122" s="8"/>
    </row>
    <row r="123" spans="1:10" ht="15" customHeight="1">
      <c r="A123" s="12"/>
      <c r="B123" s="8"/>
      <c r="C123" s="8" t="str">
        <f>IFERROR(INDEX('Team Master'!$C$3:$C$200,MATCH(B123,'Team Master'!$B$3:$B$200,0)),"")</f>
        <v/>
      </c>
      <c r="D123" s="8"/>
      <c r="E123" s="8"/>
      <c r="F123" s="13"/>
      <c r="G123" s="13"/>
      <c r="H123" s="8">
        <f t="shared" si="1"/>
        <v>0</v>
      </c>
      <c r="I123" s="8"/>
      <c r="J123" s="8"/>
    </row>
    <row r="124" spans="1:10" ht="15" customHeight="1">
      <c r="A124" s="12"/>
      <c r="B124" s="8"/>
      <c r="C124" s="8" t="str">
        <f>IFERROR(INDEX('Team Master'!$C$3:$C$200,MATCH(B124,'Team Master'!$B$3:$B$200,0)),"")</f>
        <v/>
      </c>
      <c r="D124" s="8"/>
      <c r="E124" s="8"/>
      <c r="F124" s="13"/>
      <c r="G124" s="13"/>
      <c r="H124" s="8">
        <f t="shared" si="1"/>
        <v>0</v>
      </c>
      <c r="I124" s="8"/>
      <c r="J124" s="8"/>
    </row>
    <row r="125" spans="1:10" ht="15" customHeight="1">
      <c r="A125" s="12"/>
      <c r="B125" s="8"/>
      <c r="C125" s="8" t="str">
        <f>IFERROR(INDEX('Team Master'!$C$3:$C$200,MATCH(B125,'Team Master'!$B$3:$B$200,0)),"")</f>
        <v/>
      </c>
      <c r="D125" s="8"/>
      <c r="E125" s="8"/>
      <c r="F125" s="13"/>
      <c r="G125" s="13"/>
      <c r="H125" s="8">
        <f t="shared" si="1"/>
        <v>0</v>
      </c>
      <c r="I125" s="8"/>
      <c r="J125" s="8"/>
    </row>
    <row r="126" spans="1:10" ht="15" customHeight="1">
      <c r="A126" s="12"/>
      <c r="B126" s="8"/>
      <c r="C126" s="8" t="str">
        <f>IFERROR(INDEX('Team Master'!$C$3:$C$200,MATCH(B126,'Team Master'!$B$3:$B$200,0)),"")</f>
        <v/>
      </c>
      <c r="D126" s="8"/>
      <c r="E126" s="8"/>
      <c r="F126" s="13"/>
      <c r="G126" s="13"/>
      <c r="H126" s="8">
        <f t="shared" si="1"/>
        <v>0</v>
      </c>
      <c r="I126" s="8"/>
      <c r="J126" s="8"/>
    </row>
    <row r="127" spans="1:10" ht="15" customHeight="1">
      <c r="A127" s="12"/>
      <c r="B127" s="8"/>
      <c r="C127" s="8" t="str">
        <f>IFERROR(INDEX('Team Master'!$C$3:$C$200,MATCH(B127,'Team Master'!$B$3:$B$200,0)),"")</f>
        <v/>
      </c>
      <c r="D127" s="8"/>
      <c r="E127" s="8"/>
      <c r="F127" s="13"/>
      <c r="G127" s="13"/>
      <c r="H127" s="8">
        <f t="shared" si="1"/>
        <v>0</v>
      </c>
      <c r="I127" s="8"/>
      <c r="J127" s="8"/>
    </row>
    <row r="128" spans="1:10" ht="15" customHeight="1">
      <c r="A128" s="12"/>
      <c r="B128" s="8"/>
      <c r="C128" s="8" t="str">
        <f>IFERROR(INDEX('Team Master'!$C$3:$C$200,MATCH(B128,'Team Master'!$B$3:$B$200,0)),"")</f>
        <v/>
      </c>
      <c r="D128" s="8"/>
      <c r="E128" s="8"/>
      <c r="F128" s="13"/>
      <c r="G128" s="13"/>
      <c r="H128" s="8">
        <f t="shared" si="1"/>
        <v>0</v>
      </c>
      <c r="I128" s="8"/>
      <c r="J128" s="8"/>
    </row>
    <row r="129" spans="1:10" ht="15" customHeight="1">
      <c r="A129" s="12"/>
      <c r="B129" s="8"/>
      <c r="C129" s="8" t="str">
        <f>IFERROR(INDEX('Team Master'!$C$3:$C$200,MATCH(B129,'Team Master'!$B$3:$B$200,0)),"")</f>
        <v/>
      </c>
      <c r="D129" s="8"/>
      <c r="E129" s="8"/>
      <c r="F129" s="13"/>
      <c r="G129" s="13"/>
      <c r="H129" s="8">
        <f t="shared" si="1"/>
        <v>0</v>
      </c>
      <c r="I129" s="8"/>
      <c r="J129" s="8"/>
    </row>
    <row r="130" spans="1:10" ht="15" customHeight="1">
      <c r="A130" s="12"/>
      <c r="B130" s="8"/>
      <c r="C130" s="8" t="str">
        <f>IFERROR(INDEX('Team Master'!$C$3:$C$200,MATCH(B130,'Team Master'!$B$3:$B$200,0)),"")</f>
        <v/>
      </c>
      <c r="D130" s="8"/>
      <c r="E130" s="8"/>
      <c r="F130" s="13"/>
      <c r="G130" s="13"/>
      <c r="H130" s="8">
        <f t="shared" si="1"/>
        <v>0</v>
      </c>
      <c r="I130" s="8"/>
      <c r="J130" s="8"/>
    </row>
    <row r="131" spans="1:10" ht="15" customHeight="1">
      <c r="A131" s="12"/>
      <c r="B131" s="8"/>
      <c r="C131" s="8" t="str">
        <f>IFERROR(INDEX('Team Master'!$C$3:$C$200,MATCH(B131,'Team Master'!$B$3:$B$200,0)),"")</f>
        <v/>
      </c>
      <c r="D131" s="8"/>
      <c r="E131" s="8"/>
      <c r="F131" s="13"/>
      <c r="G131" s="13"/>
      <c r="H131" s="8">
        <f t="shared" si="1"/>
        <v>0</v>
      </c>
      <c r="I131" s="8"/>
      <c r="J131" s="8"/>
    </row>
    <row r="132" spans="1:10" ht="15" customHeight="1">
      <c r="A132" s="12"/>
      <c r="B132" s="8"/>
      <c r="C132" s="8" t="str">
        <f>IFERROR(INDEX('Team Master'!$C$3:$C$200,MATCH(B132,'Team Master'!$B$3:$B$200,0)),"")</f>
        <v/>
      </c>
      <c r="D132" s="8"/>
      <c r="E132" s="8"/>
      <c r="F132" s="13"/>
      <c r="G132" s="13"/>
      <c r="H132" s="8">
        <f t="shared" ref="H132:H195" si="2">IF(AND(F132&lt;&gt;"",G132&lt;&gt;""),ROUND((G132-F132)*24,2),0)</f>
        <v>0</v>
      </c>
      <c r="I132" s="8"/>
      <c r="J132" s="8"/>
    </row>
    <row r="133" spans="1:10" ht="15" customHeight="1">
      <c r="A133" s="12"/>
      <c r="B133" s="8"/>
      <c r="C133" s="8" t="str">
        <f>IFERROR(INDEX('Team Master'!$C$3:$C$200,MATCH(B133,'Team Master'!$B$3:$B$200,0)),"")</f>
        <v/>
      </c>
      <c r="D133" s="8"/>
      <c r="E133" s="8"/>
      <c r="F133" s="13"/>
      <c r="G133" s="13"/>
      <c r="H133" s="8">
        <f t="shared" si="2"/>
        <v>0</v>
      </c>
      <c r="I133" s="8"/>
      <c r="J133" s="8"/>
    </row>
    <row r="134" spans="1:10" ht="15" customHeight="1">
      <c r="A134" s="12"/>
      <c r="B134" s="8"/>
      <c r="C134" s="8" t="str">
        <f>IFERROR(INDEX('Team Master'!$C$3:$C$200,MATCH(B134,'Team Master'!$B$3:$B$200,0)),"")</f>
        <v/>
      </c>
      <c r="D134" s="8"/>
      <c r="E134" s="8"/>
      <c r="F134" s="13"/>
      <c r="G134" s="13"/>
      <c r="H134" s="8">
        <f t="shared" si="2"/>
        <v>0</v>
      </c>
      <c r="I134" s="8"/>
      <c r="J134" s="8"/>
    </row>
    <row r="135" spans="1:10" ht="15" customHeight="1">
      <c r="A135" s="12"/>
      <c r="B135" s="8"/>
      <c r="C135" s="8" t="str">
        <f>IFERROR(INDEX('Team Master'!$C$3:$C$200,MATCH(B135,'Team Master'!$B$3:$B$200,0)),"")</f>
        <v/>
      </c>
      <c r="D135" s="8"/>
      <c r="E135" s="8"/>
      <c r="F135" s="13"/>
      <c r="G135" s="13"/>
      <c r="H135" s="8">
        <f t="shared" si="2"/>
        <v>0</v>
      </c>
      <c r="I135" s="8"/>
      <c r="J135" s="8"/>
    </row>
    <row r="136" spans="1:10" ht="15" customHeight="1">
      <c r="A136" s="12"/>
      <c r="B136" s="8"/>
      <c r="C136" s="8" t="str">
        <f>IFERROR(INDEX('Team Master'!$C$3:$C$200,MATCH(B136,'Team Master'!$B$3:$B$200,0)),"")</f>
        <v/>
      </c>
      <c r="D136" s="8"/>
      <c r="E136" s="8"/>
      <c r="F136" s="13"/>
      <c r="G136" s="13"/>
      <c r="H136" s="8">
        <f t="shared" si="2"/>
        <v>0</v>
      </c>
      <c r="I136" s="8"/>
      <c r="J136" s="8"/>
    </row>
    <row r="137" spans="1:10" ht="15" customHeight="1">
      <c r="A137" s="12"/>
      <c r="B137" s="8"/>
      <c r="C137" s="8" t="str">
        <f>IFERROR(INDEX('Team Master'!$C$3:$C$200,MATCH(B137,'Team Master'!$B$3:$B$200,0)),"")</f>
        <v/>
      </c>
      <c r="D137" s="8"/>
      <c r="E137" s="8"/>
      <c r="F137" s="13"/>
      <c r="G137" s="13"/>
      <c r="H137" s="8">
        <f t="shared" si="2"/>
        <v>0</v>
      </c>
      <c r="I137" s="8"/>
      <c r="J137" s="8"/>
    </row>
    <row r="138" spans="1:10" ht="15" customHeight="1">
      <c r="A138" s="12"/>
      <c r="B138" s="8"/>
      <c r="C138" s="8" t="str">
        <f>IFERROR(INDEX('Team Master'!$C$3:$C$200,MATCH(B138,'Team Master'!$B$3:$B$200,0)),"")</f>
        <v/>
      </c>
      <c r="D138" s="8"/>
      <c r="E138" s="8"/>
      <c r="F138" s="13"/>
      <c r="G138" s="13"/>
      <c r="H138" s="8">
        <f t="shared" si="2"/>
        <v>0</v>
      </c>
      <c r="I138" s="8"/>
      <c r="J138" s="8"/>
    </row>
    <row r="139" spans="1:10" ht="15" customHeight="1">
      <c r="A139" s="12"/>
      <c r="B139" s="8"/>
      <c r="C139" s="8" t="str">
        <f>IFERROR(INDEX('Team Master'!$C$3:$C$200,MATCH(B139,'Team Master'!$B$3:$B$200,0)),"")</f>
        <v/>
      </c>
      <c r="D139" s="8"/>
      <c r="E139" s="8"/>
      <c r="F139" s="13"/>
      <c r="G139" s="13"/>
      <c r="H139" s="8">
        <f t="shared" si="2"/>
        <v>0</v>
      </c>
      <c r="I139" s="8"/>
      <c r="J139" s="8"/>
    </row>
    <row r="140" spans="1:10" ht="15" customHeight="1">
      <c r="A140" s="12"/>
      <c r="B140" s="8"/>
      <c r="C140" s="8" t="str">
        <f>IFERROR(INDEX('Team Master'!$C$3:$C$200,MATCH(B140,'Team Master'!$B$3:$B$200,0)),"")</f>
        <v/>
      </c>
      <c r="D140" s="8"/>
      <c r="E140" s="8"/>
      <c r="F140" s="13"/>
      <c r="G140" s="13"/>
      <c r="H140" s="8">
        <f t="shared" si="2"/>
        <v>0</v>
      </c>
      <c r="I140" s="8"/>
      <c r="J140" s="8"/>
    </row>
    <row r="141" spans="1:10" ht="15" customHeight="1">
      <c r="A141" s="12"/>
      <c r="B141" s="8"/>
      <c r="C141" s="8" t="str">
        <f>IFERROR(INDEX('Team Master'!$C$3:$C$200,MATCH(B141,'Team Master'!$B$3:$B$200,0)),"")</f>
        <v/>
      </c>
      <c r="D141" s="8"/>
      <c r="E141" s="8"/>
      <c r="F141" s="13"/>
      <c r="G141" s="13"/>
      <c r="H141" s="8">
        <f t="shared" si="2"/>
        <v>0</v>
      </c>
      <c r="I141" s="8"/>
      <c r="J141" s="8"/>
    </row>
    <row r="142" spans="1:10" ht="15" customHeight="1">
      <c r="A142" s="12"/>
      <c r="B142" s="8"/>
      <c r="C142" s="8" t="str">
        <f>IFERROR(INDEX('Team Master'!$C$3:$C$200,MATCH(B142,'Team Master'!$B$3:$B$200,0)),"")</f>
        <v/>
      </c>
      <c r="D142" s="8"/>
      <c r="E142" s="8"/>
      <c r="F142" s="13"/>
      <c r="G142" s="13"/>
      <c r="H142" s="8">
        <f t="shared" si="2"/>
        <v>0</v>
      </c>
      <c r="I142" s="8"/>
      <c r="J142" s="8"/>
    </row>
    <row r="143" spans="1:10" ht="15" customHeight="1">
      <c r="A143" s="12"/>
      <c r="B143" s="8"/>
      <c r="C143" s="8" t="str">
        <f>IFERROR(INDEX('Team Master'!$C$3:$C$200,MATCH(B143,'Team Master'!$B$3:$B$200,0)),"")</f>
        <v/>
      </c>
      <c r="D143" s="8"/>
      <c r="E143" s="8"/>
      <c r="F143" s="13"/>
      <c r="G143" s="13"/>
      <c r="H143" s="8">
        <f t="shared" si="2"/>
        <v>0</v>
      </c>
      <c r="I143" s="8"/>
      <c r="J143" s="8"/>
    </row>
    <row r="144" spans="1:10" ht="15" customHeight="1">
      <c r="A144" s="12"/>
      <c r="B144" s="8"/>
      <c r="C144" s="8" t="str">
        <f>IFERROR(INDEX('Team Master'!$C$3:$C$200,MATCH(B144,'Team Master'!$B$3:$B$200,0)),"")</f>
        <v/>
      </c>
      <c r="D144" s="8"/>
      <c r="E144" s="8"/>
      <c r="F144" s="13"/>
      <c r="G144" s="13"/>
      <c r="H144" s="8">
        <f t="shared" si="2"/>
        <v>0</v>
      </c>
      <c r="I144" s="8"/>
      <c r="J144" s="8"/>
    </row>
    <row r="145" spans="1:10" ht="15" customHeight="1">
      <c r="A145" s="12"/>
      <c r="B145" s="8"/>
      <c r="C145" s="8" t="str">
        <f>IFERROR(INDEX('Team Master'!$C$3:$C$200,MATCH(B145,'Team Master'!$B$3:$B$200,0)),"")</f>
        <v/>
      </c>
      <c r="D145" s="8"/>
      <c r="E145" s="8"/>
      <c r="F145" s="13"/>
      <c r="G145" s="13"/>
      <c r="H145" s="8">
        <f t="shared" si="2"/>
        <v>0</v>
      </c>
      <c r="I145" s="8"/>
      <c r="J145" s="8"/>
    </row>
    <row r="146" spans="1:10" ht="15" customHeight="1">
      <c r="A146" s="12"/>
      <c r="B146" s="8"/>
      <c r="C146" s="8" t="str">
        <f>IFERROR(INDEX('Team Master'!$C$3:$C$200,MATCH(B146,'Team Master'!$B$3:$B$200,0)),"")</f>
        <v/>
      </c>
      <c r="D146" s="8"/>
      <c r="E146" s="8"/>
      <c r="F146" s="13"/>
      <c r="G146" s="13"/>
      <c r="H146" s="8">
        <f t="shared" si="2"/>
        <v>0</v>
      </c>
      <c r="I146" s="8"/>
      <c r="J146" s="8"/>
    </row>
    <row r="147" spans="1:10" ht="15" customHeight="1">
      <c r="A147" s="12"/>
      <c r="B147" s="8"/>
      <c r="C147" s="8" t="str">
        <f>IFERROR(INDEX('Team Master'!$C$3:$C$200,MATCH(B147,'Team Master'!$B$3:$B$200,0)),"")</f>
        <v/>
      </c>
      <c r="D147" s="8"/>
      <c r="E147" s="8"/>
      <c r="F147" s="13"/>
      <c r="G147" s="13"/>
      <c r="H147" s="8">
        <f t="shared" si="2"/>
        <v>0</v>
      </c>
      <c r="I147" s="8"/>
      <c r="J147" s="8"/>
    </row>
    <row r="148" spans="1:10" ht="15" customHeight="1">
      <c r="A148" s="12"/>
      <c r="B148" s="8"/>
      <c r="C148" s="8" t="str">
        <f>IFERROR(INDEX('Team Master'!$C$3:$C$200,MATCH(B148,'Team Master'!$B$3:$B$200,0)),"")</f>
        <v/>
      </c>
      <c r="D148" s="8"/>
      <c r="E148" s="8"/>
      <c r="F148" s="13"/>
      <c r="G148" s="13"/>
      <c r="H148" s="8">
        <f t="shared" si="2"/>
        <v>0</v>
      </c>
      <c r="I148" s="8"/>
      <c r="J148" s="8"/>
    </row>
    <row r="149" spans="1:10" ht="15" customHeight="1">
      <c r="A149" s="12"/>
      <c r="B149" s="8"/>
      <c r="C149" s="8" t="str">
        <f>IFERROR(INDEX('Team Master'!$C$3:$C$200,MATCH(B149,'Team Master'!$B$3:$B$200,0)),"")</f>
        <v/>
      </c>
      <c r="D149" s="8"/>
      <c r="E149" s="8"/>
      <c r="F149" s="13"/>
      <c r="G149" s="13"/>
      <c r="H149" s="8">
        <f t="shared" si="2"/>
        <v>0</v>
      </c>
      <c r="I149" s="8"/>
      <c r="J149" s="8"/>
    </row>
    <row r="150" spans="1:10" ht="15" customHeight="1">
      <c r="A150" s="12"/>
      <c r="B150" s="8"/>
      <c r="C150" s="8" t="str">
        <f>IFERROR(INDEX('Team Master'!$C$3:$C$200,MATCH(B150,'Team Master'!$B$3:$B$200,0)),"")</f>
        <v/>
      </c>
      <c r="D150" s="8"/>
      <c r="E150" s="8"/>
      <c r="F150" s="13"/>
      <c r="G150" s="13"/>
      <c r="H150" s="8">
        <f t="shared" si="2"/>
        <v>0</v>
      </c>
      <c r="I150" s="8"/>
      <c r="J150" s="8"/>
    </row>
    <row r="151" spans="1:10" ht="15" customHeight="1">
      <c r="A151" s="12"/>
      <c r="B151" s="8"/>
      <c r="C151" s="8" t="str">
        <f>IFERROR(INDEX('Team Master'!$C$3:$C$200,MATCH(B151,'Team Master'!$B$3:$B$200,0)),"")</f>
        <v/>
      </c>
      <c r="D151" s="8"/>
      <c r="E151" s="8"/>
      <c r="F151" s="13"/>
      <c r="G151" s="13"/>
      <c r="H151" s="8">
        <f t="shared" si="2"/>
        <v>0</v>
      </c>
      <c r="I151" s="8"/>
      <c r="J151" s="8"/>
    </row>
    <row r="152" spans="1:10" ht="15" customHeight="1">
      <c r="A152" s="12"/>
      <c r="B152" s="8"/>
      <c r="C152" s="8" t="str">
        <f>IFERROR(INDEX('Team Master'!$C$3:$C$200,MATCH(B152,'Team Master'!$B$3:$B$200,0)),"")</f>
        <v/>
      </c>
      <c r="D152" s="8"/>
      <c r="E152" s="8"/>
      <c r="F152" s="13"/>
      <c r="G152" s="13"/>
      <c r="H152" s="8">
        <f t="shared" si="2"/>
        <v>0</v>
      </c>
      <c r="I152" s="8"/>
      <c r="J152" s="8"/>
    </row>
    <row r="153" spans="1:10" ht="15" customHeight="1">
      <c r="A153" s="12"/>
      <c r="B153" s="8"/>
      <c r="C153" s="8" t="str">
        <f>IFERROR(INDEX('Team Master'!$C$3:$C$200,MATCH(B153,'Team Master'!$B$3:$B$200,0)),"")</f>
        <v/>
      </c>
      <c r="D153" s="8"/>
      <c r="E153" s="8"/>
      <c r="F153" s="13"/>
      <c r="G153" s="13"/>
      <c r="H153" s="8">
        <f t="shared" si="2"/>
        <v>0</v>
      </c>
      <c r="I153" s="8"/>
      <c r="J153" s="8"/>
    </row>
    <row r="154" spans="1:10" ht="15" customHeight="1">
      <c r="A154" s="12"/>
      <c r="B154" s="8"/>
      <c r="C154" s="8" t="str">
        <f>IFERROR(INDEX('Team Master'!$C$3:$C$200,MATCH(B154,'Team Master'!$B$3:$B$200,0)),"")</f>
        <v/>
      </c>
      <c r="D154" s="8"/>
      <c r="E154" s="8"/>
      <c r="F154" s="13"/>
      <c r="G154" s="13"/>
      <c r="H154" s="8">
        <f t="shared" si="2"/>
        <v>0</v>
      </c>
      <c r="I154" s="8"/>
      <c r="J154" s="8"/>
    </row>
    <row r="155" spans="1:10" ht="15" customHeight="1">
      <c r="A155" s="12"/>
      <c r="B155" s="8"/>
      <c r="C155" s="8" t="str">
        <f>IFERROR(INDEX('Team Master'!$C$3:$C$200,MATCH(B155,'Team Master'!$B$3:$B$200,0)),"")</f>
        <v/>
      </c>
      <c r="D155" s="8"/>
      <c r="E155" s="8"/>
      <c r="F155" s="13"/>
      <c r="G155" s="13"/>
      <c r="H155" s="8">
        <f t="shared" si="2"/>
        <v>0</v>
      </c>
      <c r="I155" s="8"/>
      <c r="J155" s="8"/>
    </row>
    <row r="156" spans="1:10" ht="15" customHeight="1">
      <c r="A156" s="12"/>
      <c r="B156" s="8"/>
      <c r="C156" s="8" t="str">
        <f>IFERROR(INDEX('Team Master'!$C$3:$C$200,MATCH(B156,'Team Master'!$B$3:$B$200,0)),"")</f>
        <v/>
      </c>
      <c r="D156" s="8"/>
      <c r="E156" s="8"/>
      <c r="F156" s="13"/>
      <c r="G156" s="13"/>
      <c r="H156" s="8">
        <f t="shared" si="2"/>
        <v>0</v>
      </c>
      <c r="I156" s="8"/>
      <c r="J156" s="8"/>
    </row>
    <row r="157" spans="1:10" ht="15" customHeight="1">
      <c r="A157" s="12"/>
      <c r="B157" s="8"/>
      <c r="C157" s="8" t="str">
        <f>IFERROR(INDEX('Team Master'!$C$3:$C$200,MATCH(B157,'Team Master'!$B$3:$B$200,0)),"")</f>
        <v/>
      </c>
      <c r="D157" s="8"/>
      <c r="E157" s="8"/>
      <c r="F157" s="13"/>
      <c r="G157" s="13"/>
      <c r="H157" s="8">
        <f t="shared" si="2"/>
        <v>0</v>
      </c>
      <c r="I157" s="8"/>
      <c r="J157" s="8"/>
    </row>
    <row r="158" spans="1:10" ht="15" customHeight="1">
      <c r="A158" s="12"/>
      <c r="B158" s="8"/>
      <c r="C158" s="8" t="str">
        <f>IFERROR(INDEX('Team Master'!$C$3:$C$200,MATCH(B158,'Team Master'!$B$3:$B$200,0)),"")</f>
        <v/>
      </c>
      <c r="D158" s="8"/>
      <c r="E158" s="8"/>
      <c r="F158" s="13"/>
      <c r="G158" s="13"/>
      <c r="H158" s="8">
        <f t="shared" si="2"/>
        <v>0</v>
      </c>
      <c r="I158" s="8"/>
      <c r="J158" s="8"/>
    </row>
    <row r="159" spans="1:10" ht="15" customHeight="1">
      <c r="A159" s="12"/>
      <c r="B159" s="8"/>
      <c r="C159" s="8" t="str">
        <f>IFERROR(INDEX('Team Master'!$C$3:$C$200,MATCH(B159,'Team Master'!$B$3:$B$200,0)),"")</f>
        <v/>
      </c>
      <c r="D159" s="8"/>
      <c r="E159" s="8"/>
      <c r="F159" s="13"/>
      <c r="G159" s="13"/>
      <c r="H159" s="8">
        <f t="shared" si="2"/>
        <v>0</v>
      </c>
      <c r="I159" s="8"/>
      <c r="J159" s="8"/>
    </row>
    <row r="160" spans="1:10" ht="15" customHeight="1">
      <c r="A160" s="12"/>
      <c r="B160" s="8"/>
      <c r="C160" s="8" t="str">
        <f>IFERROR(INDEX('Team Master'!$C$3:$C$200,MATCH(B160,'Team Master'!$B$3:$B$200,0)),"")</f>
        <v/>
      </c>
      <c r="D160" s="8"/>
      <c r="E160" s="8"/>
      <c r="F160" s="13"/>
      <c r="G160" s="13"/>
      <c r="H160" s="8">
        <f t="shared" si="2"/>
        <v>0</v>
      </c>
      <c r="I160" s="8"/>
      <c r="J160" s="8"/>
    </row>
    <row r="161" spans="1:10" ht="15" customHeight="1">
      <c r="A161" s="12"/>
      <c r="B161" s="8"/>
      <c r="C161" s="8" t="str">
        <f>IFERROR(INDEX('Team Master'!$C$3:$C$200,MATCH(B161,'Team Master'!$B$3:$B$200,0)),"")</f>
        <v/>
      </c>
      <c r="D161" s="8"/>
      <c r="E161" s="8"/>
      <c r="F161" s="13"/>
      <c r="G161" s="13"/>
      <c r="H161" s="8">
        <f t="shared" si="2"/>
        <v>0</v>
      </c>
      <c r="I161" s="8"/>
      <c r="J161" s="8"/>
    </row>
    <row r="162" spans="1:10" ht="15" customHeight="1">
      <c r="A162" s="12"/>
      <c r="B162" s="8"/>
      <c r="C162" s="8" t="str">
        <f>IFERROR(INDEX('Team Master'!$C$3:$C$200,MATCH(B162,'Team Master'!$B$3:$B$200,0)),"")</f>
        <v/>
      </c>
      <c r="D162" s="8"/>
      <c r="E162" s="8"/>
      <c r="F162" s="13"/>
      <c r="G162" s="13"/>
      <c r="H162" s="8">
        <f t="shared" si="2"/>
        <v>0</v>
      </c>
      <c r="I162" s="8"/>
      <c r="J162" s="8"/>
    </row>
    <row r="163" spans="1:10" ht="15" customHeight="1">
      <c r="A163" s="12"/>
      <c r="B163" s="8"/>
      <c r="C163" s="8" t="str">
        <f>IFERROR(INDEX('Team Master'!$C$3:$C$200,MATCH(B163,'Team Master'!$B$3:$B$200,0)),"")</f>
        <v/>
      </c>
      <c r="D163" s="8"/>
      <c r="E163" s="8"/>
      <c r="F163" s="13"/>
      <c r="G163" s="13"/>
      <c r="H163" s="8">
        <f t="shared" si="2"/>
        <v>0</v>
      </c>
      <c r="I163" s="8"/>
      <c r="J163" s="8"/>
    </row>
    <row r="164" spans="1:10" ht="15" customHeight="1">
      <c r="A164" s="12"/>
      <c r="B164" s="8"/>
      <c r="C164" s="8" t="str">
        <f>IFERROR(INDEX('Team Master'!$C$3:$C$200,MATCH(B164,'Team Master'!$B$3:$B$200,0)),"")</f>
        <v/>
      </c>
      <c r="D164" s="8"/>
      <c r="E164" s="8"/>
      <c r="F164" s="13"/>
      <c r="G164" s="13"/>
      <c r="H164" s="8">
        <f t="shared" si="2"/>
        <v>0</v>
      </c>
      <c r="I164" s="8"/>
      <c r="J164" s="8"/>
    </row>
    <row r="165" spans="1:10" ht="15" customHeight="1">
      <c r="A165" s="12"/>
      <c r="B165" s="8"/>
      <c r="C165" s="8" t="str">
        <f>IFERROR(INDEX('Team Master'!$C$3:$C$200,MATCH(B165,'Team Master'!$B$3:$B$200,0)),"")</f>
        <v/>
      </c>
      <c r="D165" s="8"/>
      <c r="E165" s="8"/>
      <c r="F165" s="13"/>
      <c r="G165" s="13"/>
      <c r="H165" s="8">
        <f t="shared" si="2"/>
        <v>0</v>
      </c>
      <c r="I165" s="8"/>
      <c r="J165" s="8"/>
    </row>
    <row r="166" spans="1:10" ht="15" customHeight="1">
      <c r="A166" s="12"/>
      <c r="B166" s="8"/>
      <c r="C166" s="8" t="str">
        <f>IFERROR(INDEX('Team Master'!$C$3:$C$200,MATCH(B166,'Team Master'!$B$3:$B$200,0)),"")</f>
        <v/>
      </c>
      <c r="D166" s="8"/>
      <c r="E166" s="8"/>
      <c r="F166" s="13"/>
      <c r="G166" s="13"/>
      <c r="H166" s="8">
        <f t="shared" si="2"/>
        <v>0</v>
      </c>
      <c r="I166" s="8"/>
      <c r="J166" s="8"/>
    </row>
    <row r="167" spans="1:10" ht="15" customHeight="1">
      <c r="A167" s="12"/>
      <c r="B167" s="8"/>
      <c r="C167" s="8" t="str">
        <f>IFERROR(INDEX('Team Master'!$C$3:$C$200,MATCH(B167,'Team Master'!$B$3:$B$200,0)),"")</f>
        <v/>
      </c>
      <c r="D167" s="8"/>
      <c r="E167" s="8"/>
      <c r="F167" s="13"/>
      <c r="G167" s="13"/>
      <c r="H167" s="8">
        <f t="shared" si="2"/>
        <v>0</v>
      </c>
      <c r="I167" s="8"/>
      <c r="J167" s="8"/>
    </row>
    <row r="168" spans="1:10" ht="15" customHeight="1">
      <c r="A168" s="12"/>
      <c r="B168" s="8"/>
      <c r="C168" s="8" t="str">
        <f>IFERROR(INDEX('Team Master'!$C$3:$C$200,MATCH(B168,'Team Master'!$B$3:$B$200,0)),"")</f>
        <v/>
      </c>
      <c r="D168" s="8"/>
      <c r="E168" s="8"/>
      <c r="F168" s="13"/>
      <c r="G168" s="13"/>
      <c r="H168" s="8">
        <f t="shared" si="2"/>
        <v>0</v>
      </c>
      <c r="I168" s="8"/>
      <c r="J168" s="8"/>
    </row>
    <row r="169" spans="1:10" ht="15" customHeight="1">
      <c r="A169" s="12"/>
      <c r="B169" s="8"/>
      <c r="C169" s="8" t="str">
        <f>IFERROR(INDEX('Team Master'!$C$3:$C$200,MATCH(B169,'Team Master'!$B$3:$B$200,0)),"")</f>
        <v/>
      </c>
      <c r="D169" s="8"/>
      <c r="E169" s="8"/>
      <c r="F169" s="13"/>
      <c r="G169" s="13"/>
      <c r="H169" s="8">
        <f t="shared" si="2"/>
        <v>0</v>
      </c>
      <c r="I169" s="8"/>
      <c r="J169" s="8"/>
    </row>
    <row r="170" spans="1:10" ht="15" customHeight="1">
      <c r="A170" s="12"/>
      <c r="B170" s="8"/>
      <c r="C170" s="8" t="str">
        <f>IFERROR(INDEX('Team Master'!$C$3:$C$200,MATCH(B170,'Team Master'!$B$3:$B$200,0)),"")</f>
        <v/>
      </c>
      <c r="D170" s="8"/>
      <c r="E170" s="8"/>
      <c r="F170" s="13"/>
      <c r="G170" s="13"/>
      <c r="H170" s="8">
        <f t="shared" si="2"/>
        <v>0</v>
      </c>
      <c r="I170" s="8"/>
      <c r="J170" s="8"/>
    </row>
    <row r="171" spans="1:10" ht="15" customHeight="1">
      <c r="A171" s="12"/>
      <c r="B171" s="8"/>
      <c r="C171" s="8" t="str">
        <f>IFERROR(INDEX('Team Master'!$C$3:$C$200,MATCH(B171,'Team Master'!$B$3:$B$200,0)),"")</f>
        <v/>
      </c>
      <c r="D171" s="8"/>
      <c r="E171" s="8"/>
      <c r="F171" s="13"/>
      <c r="G171" s="13"/>
      <c r="H171" s="8">
        <f t="shared" si="2"/>
        <v>0</v>
      </c>
      <c r="I171" s="8"/>
      <c r="J171" s="8"/>
    </row>
    <row r="172" spans="1:10" ht="15" customHeight="1">
      <c r="A172" s="12"/>
      <c r="B172" s="8"/>
      <c r="C172" s="8" t="str">
        <f>IFERROR(INDEX('Team Master'!$C$3:$C$200,MATCH(B172,'Team Master'!$B$3:$B$200,0)),"")</f>
        <v/>
      </c>
      <c r="D172" s="8"/>
      <c r="E172" s="8"/>
      <c r="F172" s="13"/>
      <c r="G172" s="13"/>
      <c r="H172" s="8">
        <f t="shared" si="2"/>
        <v>0</v>
      </c>
      <c r="I172" s="8"/>
      <c r="J172" s="8"/>
    </row>
    <row r="173" spans="1:10" ht="15" customHeight="1">
      <c r="A173" s="12"/>
      <c r="B173" s="8"/>
      <c r="C173" s="8" t="str">
        <f>IFERROR(INDEX('Team Master'!$C$3:$C$200,MATCH(B173,'Team Master'!$B$3:$B$200,0)),"")</f>
        <v/>
      </c>
      <c r="D173" s="8"/>
      <c r="E173" s="8"/>
      <c r="F173" s="13"/>
      <c r="G173" s="13"/>
      <c r="H173" s="8">
        <f t="shared" si="2"/>
        <v>0</v>
      </c>
      <c r="I173" s="8"/>
      <c r="J173" s="8"/>
    </row>
    <row r="174" spans="1:10" ht="15" customHeight="1">
      <c r="A174" s="12"/>
      <c r="B174" s="8"/>
      <c r="C174" s="8" t="str">
        <f>IFERROR(INDEX('Team Master'!$C$3:$C$200,MATCH(B174,'Team Master'!$B$3:$B$200,0)),"")</f>
        <v/>
      </c>
      <c r="D174" s="8"/>
      <c r="E174" s="8"/>
      <c r="F174" s="13"/>
      <c r="G174" s="13"/>
      <c r="H174" s="8">
        <f t="shared" si="2"/>
        <v>0</v>
      </c>
      <c r="I174" s="8"/>
      <c r="J174" s="8"/>
    </row>
    <row r="175" spans="1:10" ht="15" customHeight="1">
      <c r="A175" s="12"/>
      <c r="B175" s="8"/>
      <c r="C175" s="8" t="str">
        <f>IFERROR(INDEX('Team Master'!$C$3:$C$200,MATCH(B175,'Team Master'!$B$3:$B$200,0)),"")</f>
        <v/>
      </c>
      <c r="D175" s="8"/>
      <c r="E175" s="8"/>
      <c r="F175" s="13"/>
      <c r="G175" s="13"/>
      <c r="H175" s="8">
        <f t="shared" si="2"/>
        <v>0</v>
      </c>
      <c r="I175" s="8"/>
      <c r="J175" s="8"/>
    </row>
    <row r="176" spans="1:10" ht="15" customHeight="1">
      <c r="A176" s="12"/>
      <c r="B176" s="8"/>
      <c r="C176" s="8" t="str">
        <f>IFERROR(INDEX('Team Master'!$C$3:$C$200,MATCH(B176,'Team Master'!$B$3:$B$200,0)),"")</f>
        <v/>
      </c>
      <c r="D176" s="8"/>
      <c r="E176" s="8"/>
      <c r="F176" s="13"/>
      <c r="G176" s="13"/>
      <c r="H176" s="8">
        <f t="shared" si="2"/>
        <v>0</v>
      </c>
      <c r="I176" s="8"/>
      <c r="J176" s="8"/>
    </row>
    <row r="177" spans="1:10" ht="15" customHeight="1">
      <c r="A177" s="12"/>
      <c r="B177" s="8"/>
      <c r="C177" s="8" t="str">
        <f>IFERROR(INDEX('Team Master'!$C$3:$C$200,MATCH(B177,'Team Master'!$B$3:$B$200,0)),"")</f>
        <v/>
      </c>
      <c r="D177" s="8"/>
      <c r="E177" s="8"/>
      <c r="F177" s="13"/>
      <c r="G177" s="13"/>
      <c r="H177" s="8">
        <f t="shared" si="2"/>
        <v>0</v>
      </c>
      <c r="I177" s="8"/>
      <c r="J177" s="8"/>
    </row>
    <row r="178" spans="1:10" ht="15" customHeight="1">
      <c r="A178" s="12"/>
      <c r="B178" s="8"/>
      <c r="C178" s="8" t="str">
        <f>IFERROR(INDEX('Team Master'!$C$3:$C$200,MATCH(B178,'Team Master'!$B$3:$B$200,0)),"")</f>
        <v/>
      </c>
      <c r="D178" s="8"/>
      <c r="E178" s="8"/>
      <c r="F178" s="13"/>
      <c r="G178" s="13"/>
      <c r="H178" s="8">
        <f t="shared" si="2"/>
        <v>0</v>
      </c>
      <c r="I178" s="8"/>
      <c r="J178" s="8"/>
    </row>
    <row r="179" spans="1:10" ht="15" customHeight="1">
      <c r="A179" s="12"/>
      <c r="B179" s="8"/>
      <c r="C179" s="8" t="str">
        <f>IFERROR(INDEX('Team Master'!$C$3:$C$200,MATCH(B179,'Team Master'!$B$3:$B$200,0)),"")</f>
        <v/>
      </c>
      <c r="D179" s="8"/>
      <c r="E179" s="8"/>
      <c r="F179" s="13"/>
      <c r="G179" s="13"/>
      <c r="H179" s="8">
        <f t="shared" si="2"/>
        <v>0</v>
      </c>
      <c r="I179" s="8"/>
      <c r="J179" s="8"/>
    </row>
    <row r="180" spans="1:10" ht="15" customHeight="1">
      <c r="A180" s="12"/>
      <c r="B180" s="8"/>
      <c r="C180" s="8" t="str">
        <f>IFERROR(INDEX('Team Master'!$C$3:$C$200,MATCH(B180,'Team Master'!$B$3:$B$200,0)),"")</f>
        <v/>
      </c>
      <c r="D180" s="8"/>
      <c r="E180" s="8"/>
      <c r="F180" s="13"/>
      <c r="G180" s="13"/>
      <c r="H180" s="8">
        <f t="shared" si="2"/>
        <v>0</v>
      </c>
      <c r="I180" s="8"/>
      <c r="J180" s="8"/>
    </row>
    <row r="181" spans="1:10" ht="15" customHeight="1">
      <c r="A181" s="12"/>
      <c r="B181" s="8"/>
      <c r="C181" s="8" t="str">
        <f>IFERROR(INDEX('Team Master'!$C$3:$C$200,MATCH(B181,'Team Master'!$B$3:$B$200,0)),"")</f>
        <v/>
      </c>
      <c r="D181" s="8"/>
      <c r="E181" s="8"/>
      <c r="F181" s="13"/>
      <c r="G181" s="13"/>
      <c r="H181" s="8">
        <f t="shared" si="2"/>
        <v>0</v>
      </c>
      <c r="I181" s="8"/>
      <c r="J181" s="8"/>
    </row>
    <row r="182" spans="1:10" ht="15" customHeight="1">
      <c r="A182" s="12"/>
      <c r="B182" s="8"/>
      <c r="C182" s="8" t="str">
        <f>IFERROR(INDEX('Team Master'!$C$3:$C$200,MATCH(B182,'Team Master'!$B$3:$B$200,0)),"")</f>
        <v/>
      </c>
      <c r="D182" s="8"/>
      <c r="E182" s="8"/>
      <c r="F182" s="13"/>
      <c r="G182" s="13"/>
      <c r="H182" s="8">
        <f t="shared" si="2"/>
        <v>0</v>
      </c>
      <c r="I182" s="8"/>
      <c r="J182" s="8"/>
    </row>
    <row r="183" spans="1:10" ht="15" customHeight="1">
      <c r="A183" s="12"/>
      <c r="B183" s="8"/>
      <c r="C183" s="8" t="str">
        <f>IFERROR(INDEX('Team Master'!$C$3:$C$200,MATCH(B183,'Team Master'!$B$3:$B$200,0)),"")</f>
        <v/>
      </c>
      <c r="D183" s="8"/>
      <c r="E183" s="8"/>
      <c r="F183" s="13"/>
      <c r="G183" s="13"/>
      <c r="H183" s="8">
        <f t="shared" si="2"/>
        <v>0</v>
      </c>
      <c r="I183" s="8"/>
      <c r="J183" s="8"/>
    </row>
    <row r="184" spans="1:10" ht="15" customHeight="1">
      <c r="A184" s="12"/>
      <c r="B184" s="8"/>
      <c r="C184" s="8" t="str">
        <f>IFERROR(INDEX('Team Master'!$C$3:$C$200,MATCH(B184,'Team Master'!$B$3:$B$200,0)),"")</f>
        <v/>
      </c>
      <c r="D184" s="8"/>
      <c r="E184" s="8"/>
      <c r="F184" s="13"/>
      <c r="G184" s="13"/>
      <c r="H184" s="8">
        <f t="shared" si="2"/>
        <v>0</v>
      </c>
      <c r="I184" s="8"/>
      <c r="J184" s="8"/>
    </row>
    <row r="185" spans="1:10" ht="15" customHeight="1">
      <c r="A185" s="12"/>
      <c r="B185" s="8"/>
      <c r="C185" s="8" t="str">
        <f>IFERROR(INDEX('Team Master'!$C$3:$C$200,MATCH(B185,'Team Master'!$B$3:$B$200,0)),"")</f>
        <v/>
      </c>
      <c r="D185" s="8"/>
      <c r="E185" s="8"/>
      <c r="F185" s="13"/>
      <c r="G185" s="13"/>
      <c r="H185" s="8">
        <f t="shared" si="2"/>
        <v>0</v>
      </c>
      <c r="I185" s="8"/>
      <c r="J185" s="8"/>
    </row>
    <row r="186" spans="1:10" ht="15" customHeight="1">
      <c r="A186" s="12"/>
      <c r="B186" s="8"/>
      <c r="C186" s="8" t="str">
        <f>IFERROR(INDEX('Team Master'!$C$3:$C$200,MATCH(B186,'Team Master'!$B$3:$B$200,0)),"")</f>
        <v/>
      </c>
      <c r="D186" s="8"/>
      <c r="E186" s="8"/>
      <c r="F186" s="13"/>
      <c r="G186" s="13"/>
      <c r="H186" s="8">
        <f t="shared" si="2"/>
        <v>0</v>
      </c>
      <c r="I186" s="8"/>
      <c r="J186" s="8"/>
    </row>
    <row r="187" spans="1:10" ht="15" customHeight="1">
      <c r="A187" s="12"/>
      <c r="B187" s="8"/>
      <c r="C187" s="8" t="str">
        <f>IFERROR(INDEX('Team Master'!$C$3:$C$200,MATCH(B187,'Team Master'!$B$3:$B$200,0)),"")</f>
        <v/>
      </c>
      <c r="D187" s="8"/>
      <c r="E187" s="8"/>
      <c r="F187" s="13"/>
      <c r="G187" s="13"/>
      <c r="H187" s="8">
        <f t="shared" si="2"/>
        <v>0</v>
      </c>
      <c r="I187" s="8"/>
      <c r="J187" s="8"/>
    </row>
    <row r="188" spans="1:10" ht="15" customHeight="1">
      <c r="A188" s="12"/>
      <c r="B188" s="8"/>
      <c r="C188" s="8" t="str">
        <f>IFERROR(INDEX('Team Master'!$C$3:$C$200,MATCH(B188,'Team Master'!$B$3:$B$200,0)),"")</f>
        <v/>
      </c>
      <c r="D188" s="8"/>
      <c r="E188" s="8"/>
      <c r="F188" s="13"/>
      <c r="G188" s="13"/>
      <c r="H188" s="8">
        <f t="shared" si="2"/>
        <v>0</v>
      </c>
      <c r="I188" s="8"/>
      <c r="J188" s="8"/>
    </row>
    <row r="189" spans="1:10" ht="15" customHeight="1">
      <c r="A189" s="12"/>
      <c r="B189" s="8"/>
      <c r="C189" s="8" t="str">
        <f>IFERROR(INDEX('Team Master'!$C$3:$C$200,MATCH(B189,'Team Master'!$B$3:$B$200,0)),"")</f>
        <v/>
      </c>
      <c r="D189" s="8"/>
      <c r="E189" s="8"/>
      <c r="F189" s="13"/>
      <c r="G189" s="13"/>
      <c r="H189" s="8">
        <f t="shared" si="2"/>
        <v>0</v>
      </c>
      <c r="I189" s="8"/>
      <c r="J189" s="8"/>
    </row>
    <row r="190" spans="1:10" ht="15" customHeight="1">
      <c r="A190" s="12"/>
      <c r="B190" s="8"/>
      <c r="C190" s="8" t="str">
        <f>IFERROR(INDEX('Team Master'!$C$3:$C$200,MATCH(B190,'Team Master'!$B$3:$B$200,0)),"")</f>
        <v/>
      </c>
      <c r="D190" s="8"/>
      <c r="E190" s="8"/>
      <c r="F190" s="13"/>
      <c r="G190" s="13"/>
      <c r="H190" s="8">
        <f t="shared" si="2"/>
        <v>0</v>
      </c>
      <c r="I190" s="8"/>
      <c r="J190" s="8"/>
    </row>
    <row r="191" spans="1:10" ht="15" customHeight="1">
      <c r="A191" s="12"/>
      <c r="B191" s="8"/>
      <c r="C191" s="8" t="str">
        <f>IFERROR(INDEX('Team Master'!$C$3:$C$200,MATCH(B191,'Team Master'!$B$3:$B$200,0)),"")</f>
        <v/>
      </c>
      <c r="D191" s="8"/>
      <c r="E191" s="8"/>
      <c r="F191" s="13"/>
      <c r="G191" s="13"/>
      <c r="H191" s="8">
        <f t="shared" si="2"/>
        <v>0</v>
      </c>
      <c r="I191" s="8"/>
      <c r="J191" s="8"/>
    </row>
    <row r="192" spans="1:10" ht="15" customHeight="1">
      <c r="A192" s="12"/>
      <c r="B192" s="8"/>
      <c r="C192" s="8" t="str">
        <f>IFERROR(INDEX('Team Master'!$C$3:$C$200,MATCH(B192,'Team Master'!$B$3:$B$200,0)),"")</f>
        <v/>
      </c>
      <c r="D192" s="8"/>
      <c r="E192" s="8"/>
      <c r="F192" s="13"/>
      <c r="G192" s="13"/>
      <c r="H192" s="8">
        <f t="shared" si="2"/>
        <v>0</v>
      </c>
      <c r="I192" s="8"/>
      <c r="J192" s="8"/>
    </row>
    <row r="193" spans="1:10" ht="15" customHeight="1">
      <c r="A193" s="12"/>
      <c r="B193" s="8"/>
      <c r="C193" s="8" t="str">
        <f>IFERROR(INDEX('Team Master'!$C$3:$C$200,MATCH(B193,'Team Master'!$B$3:$B$200,0)),"")</f>
        <v/>
      </c>
      <c r="D193" s="8"/>
      <c r="E193" s="8"/>
      <c r="F193" s="13"/>
      <c r="G193" s="13"/>
      <c r="H193" s="8">
        <f t="shared" si="2"/>
        <v>0</v>
      </c>
      <c r="I193" s="8"/>
      <c r="J193" s="8"/>
    </row>
    <row r="194" spans="1:10" ht="15" customHeight="1">
      <c r="A194" s="12"/>
      <c r="B194" s="8"/>
      <c r="C194" s="8" t="str">
        <f>IFERROR(INDEX('Team Master'!$C$3:$C$200,MATCH(B194,'Team Master'!$B$3:$B$200,0)),"")</f>
        <v/>
      </c>
      <c r="D194" s="8"/>
      <c r="E194" s="8"/>
      <c r="F194" s="13"/>
      <c r="G194" s="13"/>
      <c r="H194" s="8">
        <f t="shared" si="2"/>
        <v>0</v>
      </c>
      <c r="I194" s="8"/>
      <c r="J194" s="8"/>
    </row>
    <row r="195" spans="1:10" ht="15" customHeight="1">
      <c r="A195" s="12"/>
      <c r="B195" s="8"/>
      <c r="C195" s="8" t="str">
        <f>IFERROR(INDEX('Team Master'!$C$3:$C$200,MATCH(B195,'Team Master'!$B$3:$B$200,0)),"")</f>
        <v/>
      </c>
      <c r="D195" s="8"/>
      <c r="E195" s="8"/>
      <c r="F195" s="13"/>
      <c r="G195" s="13"/>
      <c r="H195" s="8">
        <f t="shared" si="2"/>
        <v>0</v>
      </c>
      <c r="I195" s="8"/>
      <c r="J195" s="8"/>
    </row>
    <row r="196" spans="1:10" ht="15" customHeight="1">
      <c r="A196" s="12"/>
      <c r="B196" s="8"/>
      <c r="C196" s="8" t="str">
        <f>IFERROR(INDEX('Team Master'!$C$3:$C$200,MATCH(B196,'Team Master'!$B$3:$B$200,0)),"")</f>
        <v/>
      </c>
      <c r="D196" s="8"/>
      <c r="E196" s="8"/>
      <c r="F196" s="13"/>
      <c r="G196" s="13"/>
      <c r="H196" s="8">
        <f t="shared" ref="H196:H259" si="3">IF(AND(F196&lt;&gt;"",G196&lt;&gt;""),ROUND((G196-F196)*24,2),0)</f>
        <v>0</v>
      </c>
      <c r="I196" s="8"/>
      <c r="J196" s="8"/>
    </row>
    <row r="197" spans="1:10" ht="15" customHeight="1">
      <c r="A197" s="12"/>
      <c r="B197" s="8"/>
      <c r="C197" s="8" t="str">
        <f>IFERROR(INDEX('Team Master'!$C$3:$C$200,MATCH(B197,'Team Master'!$B$3:$B$200,0)),"")</f>
        <v/>
      </c>
      <c r="D197" s="8"/>
      <c r="E197" s="8"/>
      <c r="F197" s="13"/>
      <c r="G197" s="13"/>
      <c r="H197" s="8">
        <f t="shared" si="3"/>
        <v>0</v>
      </c>
      <c r="I197" s="8"/>
      <c r="J197" s="8"/>
    </row>
    <row r="198" spans="1:10" ht="15" customHeight="1">
      <c r="A198" s="12"/>
      <c r="B198" s="8"/>
      <c r="C198" s="8" t="str">
        <f>IFERROR(INDEX('Team Master'!$C$3:$C$200,MATCH(B198,'Team Master'!$B$3:$B$200,0)),"")</f>
        <v/>
      </c>
      <c r="D198" s="8"/>
      <c r="E198" s="8"/>
      <c r="F198" s="13"/>
      <c r="G198" s="13"/>
      <c r="H198" s="8">
        <f t="shared" si="3"/>
        <v>0</v>
      </c>
      <c r="I198" s="8"/>
      <c r="J198" s="8"/>
    </row>
    <row r="199" spans="1:10" ht="15" customHeight="1">
      <c r="A199" s="12"/>
      <c r="B199" s="8"/>
      <c r="C199" s="8" t="str">
        <f>IFERROR(INDEX('Team Master'!$C$3:$C$200,MATCH(B199,'Team Master'!$B$3:$B$200,0)),"")</f>
        <v/>
      </c>
      <c r="D199" s="8"/>
      <c r="E199" s="8"/>
      <c r="F199" s="13"/>
      <c r="G199" s="13"/>
      <c r="H199" s="8">
        <f t="shared" si="3"/>
        <v>0</v>
      </c>
      <c r="I199" s="8"/>
      <c r="J199" s="8"/>
    </row>
    <row r="200" spans="1:10" ht="15" customHeight="1">
      <c r="A200" s="12"/>
      <c r="B200" s="8"/>
      <c r="C200" s="8" t="str">
        <f>IFERROR(INDEX('Team Master'!$C$3:$C$200,MATCH(B200,'Team Master'!$B$3:$B$200,0)),"")</f>
        <v/>
      </c>
      <c r="D200" s="8"/>
      <c r="E200" s="8"/>
      <c r="F200" s="13"/>
      <c r="G200" s="13"/>
      <c r="H200" s="8">
        <f t="shared" si="3"/>
        <v>0</v>
      </c>
      <c r="I200" s="8"/>
      <c r="J200" s="8"/>
    </row>
    <row r="201" spans="1:10" ht="15" customHeight="1">
      <c r="A201" s="12"/>
      <c r="B201" s="8"/>
      <c r="C201" s="8" t="str">
        <f>IFERROR(INDEX('Team Master'!$C$3:$C$200,MATCH(B201,'Team Master'!$B$3:$B$200,0)),"")</f>
        <v/>
      </c>
      <c r="D201" s="8"/>
      <c r="E201" s="8"/>
      <c r="F201" s="13"/>
      <c r="G201" s="13"/>
      <c r="H201" s="8">
        <f t="shared" si="3"/>
        <v>0</v>
      </c>
      <c r="I201" s="8"/>
      <c r="J201" s="8"/>
    </row>
    <row r="202" spans="1:10" ht="15" customHeight="1">
      <c r="A202" s="12"/>
      <c r="B202" s="8"/>
      <c r="C202" s="8" t="str">
        <f>IFERROR(INDEX('Team Master'!$C$3:$C$200,MATCH(B202,'Team Master'!$B$3:$B$200,0)),"")</f>
        <v/>
      </c>
      <c r="D202" s="8"/>
      <c r="E202" s="8"/>
      <c r="F202" s="13"/>
      <c r="G202" s="13"/>
      <c r="H202" s="8">
        <f t="shared" si="3"/>
        <v>0</v>
      </c>
      <c r="I202" s="8"/>
      <c r="J202" s="8"/>
    </row>
    <row r="203" spans="1:10" ht="15" customHeight="1">
      <c r="A203" s="12"/>
      <c r="B203" s="8"/>
      <c r="C203" s="8" t="str">
        <f>IFERROR(INDEX('Team Master'!$C$3:$C$200,MATCH(B203,'Team Master'!$B$3:$B$200,0)),"")</f>
        <v/>
      </c>
      <c r="D203" s="8"/>
      <c r="E203" s="8"/>
      <c r="F203" s="13"/>
      <c r="G203" s="13"/>
      <c r="H203" s="8">
        <f t="shared" si="3"/>
        <v>0</v>
      </c>
      <c r="I203" s="8"/>
      <c r="J203" s="8"/>
    </row>
    <row r="204" spans="1:10" ht="15" customHeight="1">
      <c r="A204" s="12"/>
      <c r="B204" s="8"/>
      <c r="C204" s="8" t="str">
        <f>IFERROR(INDEX('Team Master'!$C$3:$C$200,MATCH(B204,'Team Master'!$B$3:$B$200,0)),"")</f>
        <v/>
      </c>
      <c r="D204" s="8"/>
      <c r="E204" s="8"/>
      <c r="F204" s="13"/>
      <c r="G204" s="13"/>
      <c r="H204" s="8">
        <f t="shared" si="3"/>
        <v>0</v>
      </c>
      <c r="I204" s="8"/>
      <c r="J204" s="8"/>
    </row>
    <row r="205" spans="1:10" ht="15" customHeight="1">
      <c r="A205" s="12"/>
      <c r="B205" s="8"/>
      <c r="C205" s="8" t="str">
        <f>IFERROR(INDEX('Team Master'!$C$3:$C$200,MATCH(B205,'Team Master'!$B$3:$B$200,0)),"")</f>
        <v/>
      </c>
      <c r="D205" s="8"/>
      <c r="E205" s="8"/>
      <c r="F205" s="13"/>
      <c r="G205" s="13"/>
      <c r="H205" s="8">
        <f t="shared" si="3"/>
        <v>0</v>
      </c>
      <c r="I205" s="8"/>
      <c r="J205" s="8"/>
    </row>
    <row r="206" spans="1:10" ht="15" customHeight="1">
      <c r="A206" s="12"/>
      <c r="B206" s="8"/>
      <c r="C206" s="8" t="str">
        <f>IFERROR(INDEX('Team Master'!$C$3:$C$200,MATCH(B206,'Team Master'!$B$3:$B$200,0)),"")</f>
        <v/>
      </c>
      <c r="D206" s="8"/>
      <c r="E206" s="8"/>
      <c r="F206" s="13"/>
      <c r="G206" s="13"/>
      <c r="H206" s="8">
        <f t="shared" si="3"/>
        <v>0</v>
      </c>
      <c r="I206" s="8"/>
      <c r="J206" s="8"/>
    </row>
    <row r="207" spans="1:10" ht="15" customHeight="1">
      <c r="A207" s="12"/>
      <c r="B207" s="8"/>
      <c r="C207" s="8" t="str">
        <f>IFERROR(INDEX('Team Master'!$C$3:$C$200,MATCH(B207,'Team Master'!$B$3:$B$200,0)),"")</f>
        <v/>
      </c>
      <c r="D207" s="8"/>
      <c r="E207" s="8"/>
      <c r="F207" s="13"/>
      <c r="G207" s="13"/>
      <c r="H207" s="8">
        <f t="shared" si="3"/>
        <v>0</v>
      </c>
      <c r="I207" s="8"/>
      <c r="J207" s="8"/>
    </row>
    <row r="208" spans="1:10" ht="15" customHeight="1">
      <c r="A208" s="12"/>
      <c r="B208" s="8"/>
      <c r="C208" s="8" t="str">
        <f>IFERROR(INDEX('Team Master'!$C$3:$C$200,MATCH(B208,'Team Master'!$B$3:$B$200,0)),"")</f>
        <v/>
      </c>
      <c r="D208" s="8"/>
      <c r="E208" s="8"/>
      <c r="F208" s="13"/>
      <c r="G208" s="13"/>
      <c r="H208" s="8">
        <f t="shared" si="3"/>
        <v>0</v>
      </c>
      <c r="I208" s="8"/>
      <c r="J208" s="8"/>
    </row>
    <row r="209" spans="1:10" ht="15" customHeight="1">
      <c r="A209" s="12"/>
      <c r="B209" s="8"/>
      <c r="C209" s="8" t="str">
        <f>IFERROR(INDEX('Team Master'!$C$3:$C$200,MATCH(B209,'Team Master'!$B$3:$B$200,0)),"")</f>
        <v/>
      </c>
      <c r="D209" s="8"/>
      <c r="E209" s="8"/>
      <c r="F209" s="13"/>
      <c r="G209" s="13"/>
      <c r="H209" s="8">
        <f t="shared" si="3"/>
        <v>0</v>
      </c>
      <c r="I209" s="8"/>
      <c r="J209" s="8"/>
    </row>
    <row r="210" spans="1:10" ht="15" customHeight="1">
      <c r="A210" s="12"/>
      <c r="B210" s="8"/>
      <c r="C210" s="8" t="str">
        <f>IFERROR(INDEX('Team Master'!$C$3:$C$200,MATCH(B210,'Team Master'!$B$3:$B$200,0)),"")</f>
        <v/>
      </c>
      <c r="D210" s="8"/>
      <c r="E210" s="8"/>
      <c r="F210" s="13"/>
      <c r="G210" s="13"/>
      <c r="H210" s="8">
        <f t="shared" si="3"/>
        <v>0</v>
      </c>
      <c r="I210" s="8"/>
      <c r="J210" s="8"/>
    </row>
    <row r="211" spans="1:10" ht="15" customHeight="1">
      <c r="A211" s="12"/>
      <c r="B211" s="8"/>
      <c r="C211" s="8" t="str">
        <f>IFERROR(INDEX('Team Master'!$C$3:$C$200,MATCH(B211,'Team Master'!$B$3:$B$200,0)),"")</f>
        <v/>
      </c>
      <c r="D211" s="8"/>
      <c r="E211" s="8"/>
      <c r="F211" s="13"/>
      <c r="G211" s="13"/>
      <c r="H211" s="8">
        <f t="shared" si="3"/>
        <v>0</v>
      </c>
      <c r="I211" s="8"/>
      <c r="J211" s="8"/>
    </row>
    <row r="212" spans="1:10" ht="15" customHeight="1">
      <c r="A212" s="12"/>
      <c r="B212" s="8"/>
      <c r="C212" s="8" t="str">
        <f>IFERROR(INDEX('Team Master'!$C$3:$C$200,MATCH(B212,'Team Master'!$B$3:$B$200,0)),"")</f>
        <v/>
      </c>
      <c r="D212" s="8"/>
      <c r="E212" s="8"/>
      <c r="F212" s="13"/>
      <c r="G212" s="13"/>
      <c r="H212" s="8">
        <f t="shared" si="3"/>
        <v>0</v>
      </c>
      <c r="I212" s="8"/>
      <c r="J212" s="8"/>
    </row>
    <row r="213" spans="1:10" ht="15" customHeight="1">
      <c r="A213" s="12"/>
      <c r="B213" s="8"/>
      <c r="C213" s="8" t="str">
        <f>IFERROR(INDEX('Team Master'!$C$3:$C$200,MATCH(B213,'Team Master'!$B$3:$B$200,0)),"")</f>
        <v/>
      </c>
      <c r="D213" s="8"/>
      <c r="E213" s="8"/>
      <c r="F213" s="13"/>
      <c r="G213" s="13"/>
      <c r="H213" s="8">
        <f t="shared" si="3"/>
        <v>0</v>
      </c>
      <c r="I213" s="8"/>
      <c r="J213" s="8"/>
    </row>
    <row r="214" spans="1:10" ht="15" customHeight="1">
      <c r="A214" s="12"/>
      <c r="B214" s="8"/>
      <c r="C214" s="8" t="str">
        <f>IFERROR(INDEX('Team Master'!$C$3:$C$200,MATCH(B214,'Team Master'!$B$3:$B$200,0)),"")</f>
        <v/>
      </c>
      <c r="D214" s="8"/>
      <c r="E214" s="8"/>
      <c r="F214" s="13"/>
      <c r="G214" s="13"/>
      <c r="H214" s="8">
        <f t="shared" si="3"/>
        <v>0</v>
      </c>
      <c r="I214" s="8"/>
      <c r="J214" s="8"/>
    </row>
    <row r="215" spans="1:10" ht="15" customHeight="1">
      <c r="A215" s="12"/>
      <c r="B215" s="8"/>
      <c r="C215" s="8" t="str">
        <f>IFERROR(INDEX('Team Master'!$C$3:$C$200,MATCH(B215,'Team Master'!$B$3:$B$200,0)),"")</f>
        <v/>
      </c>
      <c r="D215" s="8"/>
      <c r="E215" s="8"/>
      <c r="F215" s="13"/>
      <c r="G215" s="13"/>
      <c r="H215" s="8">
        <f t="shared" si="3"/>
        <v>0</v>
      </c>
      <c r="I215" s="8"/>
      <c r="J215" s="8"/>
    </row>
    <row r="216" spans="1:10" ht="15" customHeight="1">
      <c r="A216" s="12"/>
      <c r="B216" s="8"/>
      <c r="C216" s="8" t="str">
        <f>IFERROR(INDEX('Team Master'!$C$3:$C$200,MATCH(B216,'Team Master'!$B$3:$B$200,0)),"")</f>
        <v/>
      </c>
      <c r="D216" s="8"/>
      <c r="E216" s="8"/>
      <c r="F216" s="13"/>
      <c r="G216" s="13"/>
      <c r="H216" s="8">
        <f t="shared" si="3"/>
        <v>0</v>
      </c>
      <c r="I216" s="8"/>
      <c r="J216" s="8"/>
    </row>
    <row r="217" spans="1:10" ht="15" customHeight="1">
      <c r="A217" s="12"/>
      <c r="B217" s="8"/>
      <c r="C217" s="8" t="str">
        <f>IFERROR(INDEX('Team Master'!$C$3:$C$200,MATCH(B217,'Team Master'!$B$3:$B$200,0)),"")</f>
        <v/>
      </c>
      <c r="D217" s="8"/>
      <c r="E217" s="8"/>
      <c r="F217" s="13"/>
      <c r="G217" s="13"/>
      <c r="H217" s="8">
        <f t="shared" si="3"/>
        <v>0</v>
      </c>
      <c r="I217" s="8"/>
      <c r="J217" s="8"/>
    </row>
    <row r="218" spans="1:10" ht="15" customHeight="1">
      <c r="A218" s="12"/>
      <c r="B218" s="8"/>
      <c r="C218" s="8" t="str">
        <f>IFERROR(INDEX('Team Master'!$C$3:$C$200,MATCH(B218,'Team Master'!$B$3:$B$200,0)),"")</f>
        <v/>
      </c>
      <c r="D218" s="8"/>
      <c r="E218" s="8"/>
      <c r="F218" s="13"/>
      <c r="G218" s="13"/>
      <c r="H218" s="8">
        <f t="shared" si="3"/>
        <v>0</v>
      </c>
      <c r="I218" s="8"/>
      <c r="J218" s="8"/>
    </row>
    <row r="219" spans="1:10" ht="15" customHeight="1">
      <c r="A219" s="12"/>
      <c r="B219" s="8"/>
      <c r="C219" s="8" t="str">
        <f>IFERROR(INDEX('Team Master'!$C$3:$C$200,MATCH(B219,'Team Master'!$B$3:$B$200,0)),"")</f>
        <v/>
      </c>
      <c r="D219" s="8"/>
      <c r="E219" s="8"/>
      <c r="F219" s="13"/>
      <c r="G219" s="13"/>
      <c r="H219" s="8">
        <f t="shared" si="3"/>
        <v>0</v>
      </c>
      <c r="I219" s="8"/>
      <c r="J219" s="8"/>
    </row>
    <row r="220" spans="1:10" ht="15" customHeight="1">
      <c r="A220" s="12"/>
      <c r="B220" s="8"/>
      <c r="C220" s="8" t="str">
        <f>IFERROR(INDEX('Team Master'!$C$3:$C$200,MATCH(B220,'Team Master'!$B$3:$B$200,0)),"")</f>
        <v/>
      </c>
      <c r="D220" s="8"/>
      <c r="E220" s="8"/>
      <c r="F220" s="13"/>
      <c r="G220" s="13"/>
      <c r="H220" s="8">
        <f t="shared" si="3"/>
        <v>0</v>
      </c>
      <c r="I220" s="8"/>
      <c r="J220" s="8"/>
    </row>
    <row r="221" spans="1:10" ht="15" customHeight="1">
      <c r="A221" s="12"/>
      <c r="B221" s="8"/>
      <c r="C221" s="8" t="str">
        <f>IFERROR(INDEX('Team Master'!$C$3:$C$200,MATCH(B221,'Team Master'!$B$3:$B$200,0)),"")</f>
        <v/>
      </c>
      <c r="D221" s="8"/>
      <c r="E221" s="8"/>
      <c r="F221" s="13"/>
      <c r="G221" s="13"/>
      <c r="H221" s="8">
        <f t="shared" si="3"/>
        <v>0</v>
      </c>
      <c r="I221" s="8"/>
      <c r="J221" s="8"/>
    </row>
    <row r="222" spans="1:10" ht="15" customHeight="1">
      <c r="A222" s="12"/>
      <c r="B222" s="8"/>
      <c r="C222" s="8" t="str">
        <f>IFERROR(INDEX('Team Master'!$C$3:$C$200,MATCH(B222,'Team Master'!$B$3:$B$200,0)),"")</f>
        <v/>
      </c>
      <c r="D222" s="8"/>
      <c r="E222" s="8"/>
      <c r="F222" s="13"/>
      <c r="G222" s="13"/>
      <c r="H222" s="8">
        <f t="shared" si="3"/>
        <v>0</v>
      </c>
      <c r="I222" s="8"/>
      <c r="J222" s="8"/>
    </row>
    <row r="223" spans="1:10" ht="15" customHeight="1">
      <c r="A223" s="12"/>
      <c r="B223" s="8"/>
      <c r="C223" s="8" t="str">
        <f>IFERROR(INDEX('Team Master'!$C$3:$C$200,MATCH(B223,'Team Master'!$B$3:$B$200,0)),"")</f>
        <v/>
      </c>
      <c r="D223" s="8"/>
      <c r="E223" s="8"/>
      <c r="F223" s="13"/>
      <c r="G223" s="13"/>
      <c r="H223" s="8">
        <f t="shared" si="3"/>
        <v>0</v>
      </c>
      <c r="I223" s="8"/>
      <c r="J223" s="8"/>
    </row>
    <row r="224" spans="1:10" ht="15" customHeight="1">
      <c r="A224" s="12"/>
      <c r="B224" s="8"/>
      <c r="C224" s="8" t="str">
        <f>IFERROR(INDEX('Team Master'!$C$3:$C$200,MATCH(B224,'Team Master'!$B$3:$B$200,0)),"")</f>
        <v/>
      </c>
      <c r="D224" s="8"/>
      <c r="E224" s="8"/>
      <c r="F224" s="13"/>
      <c r="G224" s="13"/>
      <c r="H224" s="8">
        <f t="shared" si="3"/>
        <v>0</v>
      </c>
      <c r="I224" s="8"/>
      <c r="J224" s="8"/>
    </row>
    <row r="225" spans="1:10" ht="15" customHeight="1">
      <c r="A225" s="12"/>
      <c r="B225" s="8"/>
      <c r="C225" s="8" t="str">
        <f>IFERROR(INDEX('Team Master'!$C$3:$C$200,MATCH(B225,'Team Master'!$B$3:$B$200,0)),"")</f>
        <v/>
      </c>
      <c r="D225" s="8"/>
      <c r="E225" s="8"/>
      <c r="F225" s="13"/>
      <c r="G225" s="13"/>
      <c r="H225" s="8">
        <f t="shared" si="3"/>
        <v>0</v>
      </c>
      <c r="I225" s="8"/>
      <c r="J225" s="8"/>
    </row>
    <row r="226" spans="1:10" ht="15" customHeight="1">
      <c r="A226" s="12"/>
      <c r="B226" s="8"/>
      <c r="C226" s="8" t="str">
        <f>IFERROR(INDEX('Team Master'!$C$3:$C$200,MATCH(B226,'Team Master'!$B$3:$B$200,0)),"")</f>
        <v/>
      </c>
      <c r="D226" s="8"/>
      <c r="E226" s="8"/>
      <c r="F226" s="13"/>
      <c r="G226" s="13"/>
      <c r="H226" s="8">
        <f t="shared" si="3"/>
        <v>0</v>
      </c>
      <c r="I226" s="8"/>
      <c r="J226" s="8"/>
    </row>
    <row r="227" spans="1:10" ht="15" customHeight="1">
      <c r="A227" s="12"/>
      <c r="B227" s="8"/>
      <c r="C227" s="8" t="str">
        <f>IFERROR(INDEX('Team Master'!$C$3:$C$200,MATCH(B227,'Team Master'!$B$3:$B$200,0)),"")</f>
        <v/>
      </c>
      <c r="D227" s="8"/>
      <c r="E227" s="8"/>
      <c r="F227" s="13"/>
      <c r="G227" s="13"/>
      <c r="H227" s="8">
        <f t="shared" si="3"/>
        <v>0</v>
      </c>
      <c r="I227" s="8"/>
      <c r="J227" s="8"/>
    </row>
    <row r="228" spans="1:10" ht="15" customHeight="1">
      <c r="A228" s="12"/>
      <c r="B228" s="8"/>
      <c r="C228" s="8" t="str">
        <f>IFERROR(INDEX('Team Master'!$C$3:$C$200,MATCH(B228,'Team Master'!$B$3:$B$200,0)),"")</f>
        <v/>
      </c>
      <c r="D228" s="8"/>
      <c r="E228" s="8"/>
      <c r="F228" s="13"/>
      <c r="G228" s="13"/>
      <c r="H228" s="8">
        <f t="shared" si="3"/>
        <v>0</v>
      </c>
      <c r="I228" s="8"/>
      <c r="J228" s="8"/>
    </row>
    <row r="229" spans="1:10" ht="15" customHeight="1">
      <c r="A229" s="12"/>
      <c r="B229" s="8"/>
      <c r="C229" s="8" t="str">
        <f>IFERROR(INDEX('Team Master'!$C$3:$C$200,MATCH(B229,'Team Master'!$B$3:$B$200,0)),"")</f>
        <v/>
      </c>
      <c r="D229" s="8"/>
      <c r="E229" s="8"/>
      <c r="F229" s="13"/>
      <c r="G229" s="13"/>
      <c r="H229" s="8">
        <f t="shared" si="3"/>
        <v>0</v>
      </c>
      <c r="I229" s="8"/>
      <c r="J229" s="8"/>
    </row>
    <row r="230" spans="1:10" ht="15" customHeight="1">
      <c r="A230" s="12"/>
      <c r="B230" s="8"/>
      <c r="C230" s="8" t="str">
        <f>IFERROR(INDEX('Team Master'!$C$3:$C$200,MATCH(B230,'Team Master'!$B$3:$B$200,0)),"")</f>
        <v/>
      </c>
      <c r="D230" s="8"/>
      <c r="E230" s="8"/>
      <c r="F230" s="13"/>
      <c r="G230" s="13"/>
      <c r="H230" s="8">
        <f t="shared" si="3"/>
        <v>0</v>
      </c>
      <c r="I230" s="8"/>
      <c r="J230" s="8"/>
    </row>
    <row r="231" spans="1:10" ht="15" customHeight="1">
      <c r="A231" s="12"/>
      <c r="B231" s="8"/>
      <c r="C231" s="8" t="str">
        <f>IFERROR(INDEX('Team Master'!$C$3:$C$200,MATCH(B231,'Team Master'!$B$3:$B$200,0)),"")</f>
        <v/>
      </c>
      <c r="D231" s="8"/>
      <c r="E231" s="8"/>
      <c r="F231" s="13"/>
      <c r="G231" s="13"/>
      <c r="H231" s="8">
        <f t="shared" si="3"/>
        <v>0</v>
      </c>
      <c r="I231" s="8"/>
      <c r="J231" s="8"/>
    </row>
    <row r="232" spans="1:10" ht="15" customHeight="1">
      <c r="A232" s="12"/>
      <c r="B232" s="8"/>
      <c r="C232" s="8" t="str">
        <f>IFERROR(INDEX('Team Master'!$C$3:$C$200,MATCH(B232,'Team Master'!$B$3:$B$200,0)),"")</f>
        <v/>
      </c>
      <c r="D232" s="8"/>
      <c r="E232" s="8"/>
      <c r="F232" s="13"/>
      <c r="G232" s="13"/>
      <c r="H232" s="8">
        <f t="shared" si="3"/>
        <v>0</v>
      </c>
      <c r="I232" s="8"/>
      <c r="J232" s="8"/>
    </row>
    <row r="233" spans="1:10" ht="15" customHeight="1">
      <c r="A233" s="12"/>
      <c r="B233" s="8"/>
      <c r="C233" s="8" t="str">
        <f>IFERROR(INDEX('Team Master'!$C$3:$C$200,MATCH(B233,'Team Master'!$B$3:$B$200,0)),"")</f>
        <v/>
      </c>
      <c r="D233" s="8"/>
      <c r="E233" s="8"/>
      <c r="F233" s="13"/>
      <c r="G233" s="13"/>
      <c r="H233" s="8">
        <f t="shared" si="3"/>
        <v>0</v>
      </c>
      <c r="I233" s="8"/>
      <c r="J233" s="8"/>
    </row>
    <row r="234" spans="1:10" ht="15" customHeight="1">
      <c r="A234" s="12"/>
      <c r="B234" s="8"/>
      <c r="C234" s="8" t="str">
        <f>IFERROR(INDEX('Team Master'!$C$3:$C$200,MATCH(B234,'Team Master'!$B$3:$B$200,0)),"")</f>
        <v/>
      </c>
      <c r="D234" s="8"/>
      <c r="E234" s="8"/>
      <c r="F234" s="13"/>
      <c r="G234" s="13"/>
      <c r="H234" s="8">
        <f t="shared" si="3"/>
        <v>0</v>
      </c>
      <c r="I234" s="8"/>
      <c r="J234" s="8"/>
    </row>
    <row r="235" spans="1:10" ht="15" customHeight="1">
      <c r="A235" s="12"/>
      <c r="B235" s="8"/>
      <c r="C235" s="8" t="str">
        <f>IFERROR(INDEX('Team Master'!$C$3:$C$200,MATCH(B235,'Team Master'!$B$3:$B$200,0)),"")</f>
        <v/>
      </c>
      <c r="D235" s="8"/>
      <c r="E235" s="8"/>
      <c r="F235" s="13"/>
      <c r="G235" s="13"/>
      <c r="H235" s="8">
        <f t="shared" si="3"/>
        <v>0</v>
      </c>
      <c r="I235" s="8"/>
      <c r="J235" s="8"/>
    </row>
    <row r="236" spans="1:10" ht="15" customHeight="1">
      <c r="A236" s="12"/>
      <c r="B236" s="8"/>
      <c r="C236" s="8" t="str">
        <f>IFERROR(INDEX('Team Master'!$C$3:$C$200,MATCH(B236,'Team Master'!$B$3:$B$200,0)),"")</f>
        <v/>
      </c>
      <c r="D236" s="8"/>
      <c r="E236" s="8"/>
      <c r="F236" s="13"/>
      <c r="G236" s="13"/>
      <c r="H236" s="8">
        <f t="shared" si="3"/>
        <v>0</v>
      </c>
      <c r="I236" s="8"/>
      <c r="J236" s="8"/>
    </row>
    <row r="237" spans="1:10" ht="15" customHeight="1">
      <c r="A237" s="12"/>
      <c r="B237" s="8"/>
      <c r="C237" s="8" t="str">
        <f>IFERROR(INDEX('Team Master'!$C$3:$C$200,MATCH(B237,'Team Master'!$B$3:$B$200,0)),"")</f>
        <v/>
      </c>
      <c r="D237" s="8"/>
      <c r="E237" s="8"/>
      <c r="F237" s="13"/>
      <c r="G237" s="13"/>
      <c r="H237" s="8">
        <f t="shared" si="3"/>
        <v>0</v>
      </c>
      <c r="I237" s="8"/>
      <c r="J237" s="8"/>
    </row>
    <row r="238" spans="1:10" ht="15" customHeight="1">
      <c r="A238" s="12"/>
      <c r="B238" s="8"/>
      <c r="C238" s="8" t="str">
        <f>IFERROR(INDEX('Team Master'!$C$3:$C$200,MATCH(B238,'Team Master'!$B$3:$B$200,0)),"")</f>
        <v/>
      </c>
      <c r="D238" s="8"/>
      <c r="E238" s="8"/>
      <c r="F238" s="13"/>
      <c r="G238" s="13"/>
      <c r="H238" s="8">
        <f t="shared" si="3"/>
        <v>0</v>
      </c>
      <c r="I238" s="8"/>
      <c r="J238" s="8"/>
    </row>
    <row r="239" spans="1:10" ht="15" customHeight="1">
      <c r="A239" s="12"/>
      <c r="B239" s="8"/>
      <c r="C239" s="8" t="str">
        <f>IFERROR(INDEX('Team Master'!$C$3:$C$200,MATCH(B239,'Team Master'!$B$3:$B$200,0)),"")</f>
        <v/>
      </c>
      <c r="D239" s="8"/>
      <c r="E239" s="8"/>
      <c r="F239" s="13"/>
      <c r="G239" s="13"/>
      <c r="H239" s="8">
        <f t="shared" si="3"/>
        <v>0</v>
      </c>
      <c r="I239" s="8"/>
      <c r="J239" s="8"/>
    </row>
    <row r="240" spans="1:10" ht="15" customHeight="1">
      <c r="A240" s="12"/>
      <c r="B240" s="8"/>
      <c r="C240" s="8" t="str">
        <f>IFERROR(INDEX('Team Master'!$C$3:$C$200,MATCH(B240,'Team Master'!$B$3:$B$200,0)),"")</f>
        <v/>
      </c>
      <c r="D240" s="8"/>
      <c r="E240" s="8"/>
      <c r="F240" s="13"/>
      <c r="G240" s="13"/>
      <c r="H240" s="8">
        <f t="shared" si="3"/>
        <v>0</v>
      </c>
      <c r="I240" s="8"/>
      <c r="J240" s="8"/>
    </row>
    <row r="241" spans="1:10" ht="15" customHeight="1">
      <c r="A241" s="12"/>
      <c r="B241" s="8"/>
      <c r="C241" s="8" t="str">
        <f>IFERROR(INDEX('Team Master'!$C$3:$C$200,MATCH(B241,'Team Master'!$B$3:$B$200,0)),"")</f>
        <v/>
      </c>
      <c r="D241" s="8"/>
      <c r="E241" s="8"/>
      <c r="F241" s="13"/>
      <c r="G241" s="13"/>
      <c r="H241" s="8">
        <f t="shared" si="3"/>
        <v>0</v>
      </c>
      <c r="I241" s="8"/>
      <c r="J241" s="8"/>
    </row>
    <row r="242" spans="1:10" ht="15" customHeight="1">
      <c r="A242" s="12"/>
      <c r="B242" s="8"/>
      <c r="C242" s="8" t="str">
        <f>IFERROR(INDEX('Team Master'!$C$3:$C$200,MATCH(B242,'Team Master'!$B$3:$B$200,0)),"")</f>
        <v/>
      </c>
      <c r="D242" s="8"/>
      <c r="E242" s="8"/>
      <c r="F242" s="13"/>
      <c r="G242" s="13"/>
      <c r="H242" s="8">
        <f t="shared" si="3"/>
        <v>0</v>
      </c>
      <c r="I242" s="8"/>
      <c r="J242" s="8"/>
    </row>
    <row r="243" spans="1:10" ht="15" customHeight="1">
      <c r="A243" s="12"/>
      <c r="B243" s="8"/>
      <c r="C243" s="8" t="str">
        <f>IFERROR(INDEX('Team Master'!$C$3:$C$200,MATCH(B243,'Team Master'!$B$3:$B$200,0)),"")</f>
        <v/>
      </c>
      <c r="D243" s="8"/>
      <c r="E243" s="8"/>
      <c r="F243" s="13"/>
      <c r="G243" s="13"/>
      <c r="H243" s="8">
        <f t="shared" si="3"/>
        <v>0</v>
      </c>
      <c r="I243" s="8"/>
      <c r="J243" s="8"/>
    </row>
    <row r="244" spans="1:10" ht="15" customHeight="1">
      <c r="A244" s="12"/>
      <c r="B244" s="8"/>
      <c r="C244" s="8" t="str">
        <f>IFERROR(INDEX('Team Master'!$C$3:$C$200,MATCH(B244,'Team Master'!$B$3:$B$200,0)),"")</f>
        <v/>
      </c>
      <c r="D244" s="8"/>
      <c r="E244" s="8"/>
      <c r="F244" s="13"/>
      <c r="G244" s="13"/>
      <c r="H244" s="8">
        <f t="shared" si="3"/>
        <v>0</v>
      </c>
      <c r="I244" s="8"/>
      <c r="J244" s="8"/>
    </row>
    <row r="245" spans="1:10" ht="15" customHeight="1">
      <c r="A245" s="12"/>
      <c r="B245" s="8"/>
      <c r="C245" s="8" t="str">
        <f>IFERROR(INDEX('Team Master'!$C$3:$C$200,MATCH(B245,'Team Master'!$B$3:$B$200,0)),"")</f>
        <v/>
      </c>
      <c r="D245" s="8"/>
      <c r="E245" s="8"/>
      <c r="F245" s="13"/>
      <c r="G245" s="13"/>
      <c r="H245" s="8">
        <f t="shared" si="3"/>
        <v>0</v>
      </c>
      <c r="I245" s="8"/>
      <c r="J245" s="8"/>
    </row>
    <row r="246" spans="1:10" ht="15" customHeight="1">
      <c r="A246" s="12"/>
      <c r="B246" s="8"/>
      <c r="C246" s="8" t="str">
        <f>IFERROR(INDEX('Team Master'!$C$3:$C$200,MATCH(B246,'Team Master'!$B$3:$B$200,0)),"")</f>
        <v/>
      </c>
      <c r="D246" s="8"/>
      <c r="E246" s="8"/>
      <c r="F246" s="13"/>
      <c r="G246" s="13"/>
      <c r="H246" s="8">
        <f t="shared" si="3"/>
        <v>0</v>
      </c>
      <c r="I246" s="8"/>
      <c r="J246" s="8"/>
    </row>
    <row r="247" spans="1:10" ht="15" customHeight="1">
      <c r="A247" s="12"/>
      <c r="B247" s="8"/>
      <c r="C247" s="8" t="str">
        <f>IFERROR(INDEX('Team Master'!$C$3:$C$200,MATCH(B247,'Team Master'!$B$3:$B$200,0)),"")</f>
        <v/>
      </c>
      <c r="D247" s="8"/>
      <c r="E247" s="8"/>
      <c r="F247" s="13"/>
      <c r="G247" s="13"/>
      <c r="H247" s="8">
        <f t="shared" si="3"/>
        <v>0</v>
      </c>
      <c r="I247" s="8"/>
      <c r="J247" s="8"/>
    </row>
    <row r="248" spans="1:10" ht="15" customHeight="1">
      <c r="A248" s="12"/>
      <c r="B248" s="8"/>
      <c r="C248" s="8" t="str">
        <f>IFERROR(INDEX('Team Master'!$C$3:$C$200,MATCH(B248,'Team Master'!$B$3:$B$200,0)),"")</f>
        <v/>
      </c>
      <c r="D248" s="8"/>
      <c r="E248" s="8"/>
      <c r="F248" s="13"/>
      <c r="G248" s="13"/>
      <c r="H248" s="8">
        <f t="shared" si="3"/>
        <v>0</v>
      </c>
      <c r="I248" s="8"/>
      <c r="J248" s="8"/>
    </row>
    <row r="249" spans="1:10" ht="15" customHeight="1">
      <c r="A249" s="12"/>
      <c r="B249" s="8"/>
      <c r="C249" s="8" t="str">
        <f>IFERROR(INDEX('Team Master'!$C$3:$C$200,MATCH(B249,'Team Master'!$B$3:$B$200,0)),"")</f>
        <v/>
      </c>
      <c r="D249" s="8"/>
      <c r="E249" s="8"/>
      <c r="F249" s="13"/>
      <c r="G249" s="13"/>
      <c r="H249" s="8">
        <f t="shared" si="3"/>
        <v>0</v>
      </c>
      <c r="I249" s="8"/>
      <c r="J249" s="8"/>
    </row>
    <row r="250" spans="1:10" ht="15" customHeight="1">
      <c r="A250" s="12"/>
      <c r="B250" s="8"/>
      <c r="C250" s="8" t="str">
        <f>IFERROR(INDEX('Team Master'!$C$3:$C$200,MATCH(B250,'Team Master'!$B$3:$B$200,0)),"")</f>
        <v/>
      </c>
      <c r="D250" s="8"/>
      <c r="E250" s="8"/>
      <c r="F250" s="13"/>
      <c r="G250" s="13"/>
      <c r="H250" s="8">
        <f t="shared" si="3"/>
        <v>0</v>
      </c>
      <c r="I250" s="8"/>
      <c r="J250" s="8"/>
    </row>
    <row r="251" spans="1:10" ht="15" customHeight="1">
      <c r="A251" s="12"/>
      <c r="B251" s="8"/>
      <c r="C251" s="8" t="str">
        <f>IFERROR(INDEX('Team Master'!$C$3:$C$200,MATCH(B251,'Team Master'!$B$3:$B$200,0)),"")</f>
        <v/>
      </c>
      <c r="D251" s="8"/>
      <c r="E251" s="8"/>
      <c r="F251" s="13"/>
      <c r="G251" s="13"/>
      <c r="H251" s="8">
        <f t="shared" si="3"/>
        <v>0</v>
      </c>
      <c r="I251" s="8"/>
      <c r="J251" s="8"/>
    </row>
    <row r="252" spans="1:10" ht="15" customHeight="1">
      <c r="A252" s="12"/>
      <c r="B252" s="8"/>
      <c r="C252" s="8" t="str">
        <f>IFERROR(INDEX('Team Master'!$C$3:$C$200,MATCH(B252,'Team Master'!$B$3:$B$200,0)),"")</f>
        <v/>
      </c>
      <c r="D252" s="8"/>
      <c r="E252" s="8"/>
      <c r="F252" s="13"/>
      <c r="G252" s="13"/>
      <c r="H252" s="8">
        <f t="shared" si="3"/>
        <v>0</v>
      </c>
      <c r="I252" s="8"/>
      <c r="J252" s="8"/>
    </row>
    <row r="253" spans="1:10" ht="15" customHeight="1">
      <c r="A253" s="12"/>
      <c r="B253" s="8"/>
      <c r="C253" s="8" t="str">
        <f>IFERROR(INDEX('Team Master'!$C$3:$C$200,MATCH(B253,'Team Master'!$B$3:$B$200,0)),"")</f>
        <v/>
      </c>
      <c r="D253" s="8"/>
      <c r="E253" s="8"/>
      <c r="F253" s="13"/>
      <c r="G253" s="13"/>
      <c r="H253" s="8">
        <f t="shared" si="3"/>
        <v>0</v>
      </c>
      <c r="I253" s="8"/>
      <c r="J253" s="8"/>
    </row>
    <row r="254" spans="1:10" ht="15" customHeight="1">
      <c r="A254" s="12"/>
      <c r="B254" s="8"/>
      <c r="C254" s="8" t="str">
        <f>IFERROR(INDEX('Team Master'!$C$3:$C$200,MATCH(B254,'Team Master'!$B$3:$B$200,0)),"")</f>
        <v/>
      </c>
      <c r="D254" s="8"/>
      <c r="E254" s="8"/>
      <c r="F254" s="13"/>
      <c r="G254" s="13"/>
      <c r="H254" s="8">
        <f t="shared" si="3"/>
        <v>0</v>
      </c>
      <c r="I254" s="8"/>
      <c r="J254" s="8"/>
    </row>
    <row r="255" spans="1:10" ht="15" customHeight="1">
      <c r="A255" s="12"/>
      <c r="B255" s="8"/>
      <c r="C255" s="8" t="str">
        <f>IFERROR(INDEX('Team Master'!$C$3:$C$200,MATCH(B255,'Team Master'!$B$3:$B$200,0)),"")</f>
        <v/>
      </c>
      <c r="D255" s="8"/>
      <c r="E255" s="8"/>
      <c r="F255" s="13"/>
      <c r="G255" s="13"/>
      <c r="H255" s="8">
        <f t="shared" si="3"/>
        <v>0</v>
      </c>
      <c r="I255" s="8"/>
      <c r="J255" s="8"/>
    </row>
    <row r="256" spans="1:10" ht="15" customHeight="1">
      <c r="A256" s="12"/>
      <c r="B256" s="8"/>
      <c r="C256" s="8" t="str">
        <f>IFERROR(INDEX('Team Master'!$C$3:$C$200,MATCH(B256,'Team Master'!$B$3:$B$200,0)),"")</f>
        <v/>
      </c>
      <c r="D256" s="8"/>
      <c r="E256" s="8"/>
      <c r="F256" s="13"/>
      <c r="G256" s="13"/>
      <c r="H256" s="8">
        <f t="shared" si="3"/>
        <v>0</v>
      </c>
      <c r="I256" s="8"/>
      <c r="J256" s="8"/>
    </row>
    <row r="257" spans="1:10" ht="15" customHeight="1">
      <c r="A257" s="12"/>
      <c r="B257" s="8"/>
      <c r="C257" s="8" t="str">
        <f>IFERROR(INDEX('Team Master'!$C$3:$C$200,MATCH(B257,'Team Master'!$B$3:$B$200,0)),"")</f>
        <v/>
      </c>
      <c r="D257" s="8"/>
      <c r="E257" s="8"/>
      <c r="F257" s="13"/>
      <c r="G257" s="13"/>
      <c r="H257" s="8">
        <f t="shared" si="3"/>
        <v>0</v>
      </c>
      <c r="I257" s="8"/>
      <c r="J257" s="8"/>
    </row>
    <row r="258" spans="1:10" ht="15" customHeight="1">
      <c r="A258" s="12"/>
      <c r="B258" s="8"/>
      <c r="C258" s="8" t="str">
        <f>IFERROR(INDEX('Team Master'!$C$3:$C$200,MATCH(B258,'Team Master'!$B$3:$B$200,0)),"")</f>
        <v/>
      </c>
      <c r="D258" s="8"/>
      <c r="E258" s="8"/>
      <c r="F258" s="13"/>
      <c r="G258" s="13"/>
      <c r="H258" s="8">
        <f t="shared" si="3"/>
        <v>0</v>
      </c>
      <c r="I258" s="8"/>
      <c r="J258" s="8"/>
    </row>
    <row r="259" spans="1:10" ht="15" customHeight="1">
      <c r="A259" s="12"/>
      <c r="B259" s="8"/>
      <c r="C259" s="8" t="str">
        <f>IFERROR(INDEX('Team Master'!$C$3:$C$200,MATCH(B259,'Team Master'!$B$3:$B$200,0)),"")</f>
        <v/>
      </c>
      <c r="D259" s="8"/>
      <c r="E259" s="8"/>
      <c r="F259" s="13"/>
      <c r="G259" s="13"/>
      <c r="H259" s="8">
        <f t="shared" si="3"/>
        <v>0</v>
      </c>
      <c r="I259" s="8"/>
      <c r="J259" s="8"/>
    </row>
    <row r="260" spans="1:10" ht="15" customHeight="1">
      <c r="A260" s="12"/>
      <c r="B260" s="8"/>
      <c r="C260" s="8" t="str">
        <f>IFERROR(INDEX('Team Master'!$C$3:$C$200,MATCH(B260,'Team Master'!$B$3:$B$200,0)),"")</f>
        <v/>
      </c>
      <c r="D260" s="8"/>
      <c r="E260" s="8"/>
      <c r="F260" s="13"/>
      <c r="G260" s="13"/>
      <c r="H260" s="8">
        <f t="shared" ref="H260:H323" si="4">IF(AND(F260&lt;&gt;"",G260&lt;&gt;""),ROUND((G260-F260)*24,2),0)</f>
        <v>0</v>
      </c>
      <c r="I260" s="8"/>
      <c r="J260" s="8"/>
    </row>
    <row r="261" spans="1:10" ht="15" customHeight="1">
      <c r="A261" s="12"/>
      <c r="B261" s="8"/>
      <c r="C261" s="8" t="str">
        <f>IFERROR(INDEX('Team Master'!$C$3:$C$200,MATCH(B261,'Team Master'!$B$3:$B$200,0)),"")</f>
        <v/>
      </c>
      <c r="D261" s="8"/>
      <c r="E261" s="8"/>
      <c r="F261" s="13"/>
      <c r="G261" s="13"/>
      <c r="H261" s="8">
        <f t="shared" si="4"/>
        <v>0</v>
      </c>
      <c r="I261" s="8"/>
      <c r="J261" s="8"/>
    </row>
    <row r="262" spans="1:10" ht="15" customHeight="1">
      <c r="A262" s="12"/>
      <c r="B262" s="8"/>
      <c r="C262" s="8" t="str">
        <f>IFERROR(INDEX('Team Master'!$C$3:$C$200,MATCH(B262,'Team Master'!$B$3:$B$200,0)),"")</f>
        <v/>
      </c>
      <c r="D262" s="8"/>
      <c r="E262" s="8"/>
      <c r="F262" s="13"/>
      <c r="G262" s="13"/>
      <c r="H262" s="8">
        <f t="shared" si="4"/>
        <v>0</v>
      </c>
      <c r="I262" s="8"/>
      <c r="J262" s="8"/>
    </row>
    <row r="263" spans="1:10" ht="15" customHeight="1">
      <c r="A263" s="12"/>
      <c r="B263" s="8"/>
      <c r="C263" s="8" t="str">
        <f>IFERROR(INDEX('Team Master'!$C$3:$C$200,MATCH(B263,'Team Master'!$B$3:$B$200,0)),"")</f>
        <v/>
      </c>
      <c r="D263" s="8"/>
      <c r="E263" s="8"/>
      <c r="F263" s="13"/>
      <c r="G263" s="13"/>
      <c r="H263" s="8">
        <f t="shared" si="4"/>
        <v>0</v>
      </c>
      <c r="I263" s="8"/>
      <c r="J263" s="8"/>
    </row>
    <row r="264" spans="1:10" ht="15" customHeight="1">
      <c r="A264" s="12"/>
      <c r="B264" s="8"/>
      <c r="C264" s="8" t="str">
        <f>IFERROR(INDEX('Team Master'!$C$3:$C$200,MATCH(B264,'Team Master'!$B$3:$B$200,0)),"")</f>
        <v/>
      </c>
      <c r="D264" s="8"/>
      <c r="E264" s="8"/>
      <c r="F264" s="13"/>
      <c r="G264" s="13"/>
      <c r="H264" s="8">
        <f t="shared" si="4"/>
        <v>0</v>
      </c>
      <c r="I264" s="8"/>
      <c r="J264" s="8"/>
    </row>
    <row r="265" spans="1:10" ht="15" customHeight="1">
      <c r="A265" s="12"/>
      <c r="B265" s="8"/>
      <c r="C265" s="8" t="str">
        <f>IFERROR(INDEX('Team Master'!$C$3:$C$200,MATCH(B265,'Team Master'!$B$3:$B$200,0)),"")</f>
        <v/>
      </c>
      <c r="D265" s="8"/>
      <c r="E265" s="8"/>
      <c r="F265" s="13"/>
      <c r="G265" s="13"/>
      <c r="H265" s="8">
        <f t="shared" si="4"/>
        <v>0</v>
      </c>
      <c r="I265" s="8"/>
      <c r="J265" s="8"/>
    </row>
    <row r="266" spans="1:10" ht="15" customHeight="1">
      <c r="A266" s="12"/>
      <c r="B266" s="8"/>
      <c r="C266" s="8" t="str">
        <f>IFERROR(INDEX('Team Master'!$C$3:$C$200,MATCH(B266,'Team Master'!$B$3:$B$200,0)),"")</f>
        <v/>
      </c>
      <c r="D266" s="8"/>
      <c r="E266" s="8"/>
      <c r="F266" s="13"/>
      <c r="G266" s="13"/>
      <c r="H266" s="8">
        <f t="shared" si="4"/>
        <v>0</v>
      </c>
      <c r="I266" s="8"/>
      <c r="J266" s="8"/>
    </row>
    <row r="267" spans="1:10" ht="15" customHeight="1">
      <c r="A267" s="12"/>
      <c r="B267" s="8"/>
      <c r="C267" s="8" t="str">
        <f>IFERROR(INDEX('Team Master'!$C$3:$C$200,MATCH(B267,'Team Master'!$B$3:$B$200,0)),"")</f>
        <v/>
      </c>
      <c r="D267" s="8"/>
      <c r="E267" s="8"/>
      <c r="F267" s="13"/>
      <c r="G267" s="13"/>
      <c r="H267" s="8">
        <f t="shared" si="4"/>
        <v>0</v>
      </c>
      <c r="I267" s="8"/>
      <c r="J267" s="8"/>
    </row>
    <row r="268" spans="1:10" ht="15" customHeight="1">
      <c r="A268" s="12"/>
      <c r="B268" s="8"/>
      <c r="C268" s="8" t="str">
        <f>IFERROR(INDEX('Team Master'!$C$3:$C$200,MATCH(B268,'Team Master'!$B$3:$B$200,0)),"")</f>
        <v/>
      </c>
      <c r="D268" s="8"/>
      <c r="E268" s="8"/>
      <c r="F268" s="13"/>
      <c r="G268" s="13"/>
      <c r="H268" s="8">
        <f t="shared" si="4"/>
        <v>0</v>
      </c>
      <c r="I268" s="8"/>
      <c r="J268" s="8"/>
    </row>
    <row r="269" spans="1:10" ht="15" customHeight="1">
      <c r="A269" s="12"/>
      <c r="B269" s="8"/>
      <c r="C269" s="8" t="str">
        <f>IFERROR(INDEX('Team Master'!$C$3:$C$200,MATCH(B269,'Team Master'!$B$3:$B$200,0)),"")</f>
        <v/>
      </c>
      <c r="D269" s="8"/>
      <c r="E269" s="8"/>
      <c r="F269" s="13"/>
      <c r="G269" s="13"/>
      <c r="H269" s="8">
        <f t="shared" si="4"/>
        <v>0</v>
      </c>
      <c r="I269" s="8"/>
      <c r="J269" s="8"/>
    </row>
    <row r="270" spans="1:10" ht="15" customHeight="1">
      <c r="A270" s="12"/>
      <c r="B270" s="8"/>
      <c r="C270" s="8" t="str">
        <f>IFERROR(INDEX('Team Master'!$C$3:$C$200,MATCH(B270,'Team Master'!$B$3:$B$200,0)),"")</f>
        <v/>
      </c>
      <c r="D270" s="8"/>
      <c r="E270" s="8"/>
      <c r="F270" s="13"/>
      <c r="G270" s="13"/>
      <c r="H270" s="8">
        <f t="shared" si="4"/>
        <v>0</v>
      </c>
      <c r="I270" s="8"/>
      <c r="J270" s="8"/>
    </row>
    <row r="271" spans="1:10" ht="15" customHeight="1">
      <c r="A271" s="12"/>
      <c r="B271" s="8"/>
      <c r="C271" s="8" t="str">
        <f>IFERROR(INDEX('Team Master'!$C$3:$C$200,MATCH(B271,'Team Master'!$B$3:$B$200,0)),"")</f>
        <v/>
      </c>
      <c r="D271" s="8"/>
      <c r="E271" s="8"/>
      <c r="F271" s="13"/>
      <c r="G271" s="13"/>
      <c r="H271" s="8">
        <f t="shared" si="4"/>
        <v>0</v>
      </c>
      <c r="I271" s="8"/>
      <c r="J271" s="8"/>
    </row>
    <row r="272" spans="1:10" ht="15" customHeight="1">
      <c r="A272" s="12"/>
      <c r="B272" s="8"/>
      <c r="C272" s="8" t="str">
        <f>IFERROR(INDEX('Team Master'!$C$3:$C$200,MATCH(B272,'Team Master'!$B$3:$B$200,0)),"")</f>
        <v/>
      </c>
      <c r="D272" s="8"/>
      <c r="E272" s="8"/>
      <c r="F272" s="13"/>
      <c r="G272" s="13"/>
      <c r="H272" s="8">
        <f t="shared" si="4"/>
        <v>0</v>
      </c>
      <c r="I272" s="8"/>
      <c r="J272" s="8"/>
    </row>
    <row r="273" spans="1:10" ht="15" customHeight="1">
      <c r="A273" s="12"/>
      <c r="B273" s="8"/>
      <c r="C273" s="8" t="str">
        <f>IFERROR(INDEX('Team Master'!$C$3:$C$200,MATCH(B273,'Team Master'!$B$3:$B$200,0)),"")</f>
        <v/>
      </c>
      <c r="D273" s="8"/>
      <c r="E273" s="8"/>
      <c r="F273" s="13"/>
      <c r="G273" s="13"/>
      <c r="H273" s="8">
        <f t="shared" si="4"/>
        <v>0</v>
      </c>
      <c r="I273" s="8"/>
      <c r="J273" s="8"/>
    </row>
    <row r="274" spans="1:10" ht="15" customHeight="1">
      <c r="A274" s="12"/>
      <c r="B274" s="8"/>
      <c r="C274" s="8" t="str">
        <f>IFERROR(INDEX('Team Master'!$C$3:$C$200,MATCH(B274,'Team Master'!$B$3:$B$200,0)),"")</f>
        <v/>
      </c>
      <c r="D274" s="8"/>
      <c r="E274" s="8"/>
      <c r="F274" s="13"/>
      <c r="G274" s="13"/>
      <c r="H274" s="8">
        <f t="shared" si="4"/>
        <v>0</v>
      </c>
      <c r="I274" s="8"/>
      <c r="J274" s="8"/>
    </row>
    <row r="275" spans="1:10" ht="15" customHeight="1">
      <c r="A275" s="12"/>
      <c r="B275" s="8"/>
      <c r="C275" s="8" t="str">
        <f>IFERROR(INDEX('Team Master'!$C$3:$C$200,MATCH(B275,'Team Master'!$B$3:$B$200,0)),"")</f>
        <v/>
      </c>
      <c r="D275" s="8"/>
      <c r="E275" s="8"/>
      <c r="F275" s="13"/>
      <c r="G275" s="13"/>
      <c r="H275" s="8">
        <f t="shared" si="4"/>
        <v>0</v>
      </c>
      <c r="I275" s="8"/>
      <c r="J275" s="8"/>
    </row>
    <row r="276" spans="1:10" ht="15" customHeight="1">
      <c r="A276" s="12"/>
      <c r="B276" s="8"/>
      <c r="C276" s="8" t="str">
        <f>IFERROR(INDEX('Team Master'!$C$3:$C$200,MATCH(B276,'Team Master'!$B$3:$B$200,0)),"")</f>
        <v/>
      </c>
      <c r="D276" s="8"/>
      <c r="E276" s="8"/>
      <c r="F276" s="13"/>
      <c r="G276" s="13"/>
      <c r="H276" s="8">
        <f t="shared" si="4"/>
        <v>0</v>
      </c>
      <c r="I276" s="8"/>
      <c r="J276" s="8"/>
    </row>
    <row r="277" spans="1:10" ht="15" customHeight="1">
      <c r="A277" s="12"/>
      <c r="B277" s="8"/>
      <c r="C277" s="8" t="str">
        <f>IFERROR(INDEX('Team Master'!$C$3:$C$200,MATCH(B277,'Team Master'!$B$3:$B$200,0)),"")</f>
        <v/>
      </c>
      <c r="D277" s="8"/>
      <c r="E277" s="8"/>
      <c r="F277" s="13"/>
      <c r="G277" s="13"/>
      <c r="H277" s="8">
        <f t="shared" si="4"/>
        <v>0</v>
      </c>
      <c r="I277" s="8"/>
      <c r="J277" s="8"/>
    </row>
    <row r="278" spans="1:10" ht="15" customHeight="1">
      <c r="A278" s="12"/>
      <c r="B278" s="8"/>
      <c r="C278" s="8" t="str">
        <f>IFERROR(INDEX('Team Master'!$C$3:$C$200,MATCH(B278,'Team Master'!$B$3:$B$200,0)),"")</f>
        <v/>
      </c>
      <c r="D278" s="8"/>
      <c r="E278" s="8"/>
      <c r="F278" s="13"/>
      <c r="G278" s="13"/>
      <c r="H278" s="8">
        <f t="shared" si="4"/>
        <v>0</v>
      </c>
      <c r="I278" s="8"/>
      <c r="J278" s="8"/>
    </row>
    <row r="279" spans="1:10" ht="15" customHeight="1">
      <c r="A279" s="12"/>
      <c r="B279" s="8"/>
      <c r="C279" s="8" t="str">
        <f>IFERROR(INDEX('Team Master'!$C$3:$C$200,MATCH(B279,'Team Master'!$B$3:$B$200,0)),"")</f>
        <v/>
      </c>
      <c r="D279" s="8"/>
      <c r="E279" s="8"/>
      <c r="F279" s="13"/>
      <c r="G279" s="13"/>
      <c r="H279" s="8">
        <f t="shared" si="4"/>
        <v>0</v>
      </c>
      <c r="I279" s="8"/>
      <c r="J279" s="8"/>
    </row>
    <row r="280" spans="1:10" ht="15" customHeight="1">
      <c r="A280" s="12"/>
      <c r="B280" s="8"/>
      <c r="C280" s="8" t="str">
        <f>IFERROR(INDEX('Team Master'!$C$3:$C$200,MATCH(B280,'Team Master'!$B$3:$B$200,0)),"")</f>
        <v/>
      </c>
      <c r="D280" s="8"/>
      <c r="E280" s="8"/>
      <c r="F280" s="13"/>
      <c r="G280" s="13"/>
      <c r="H280" s="8">
        <f t="shared" si="4"/>
        <v>0</v>
      </c>
      <c r="I280" s="8"/>
      <c r="J280" s="8"/>
    </row>
    <row r="281" spans="1:10" ht="15" customHeight="1">
      <c r="A281" s="12"/>
      <c r="B281" s="8"/>
      <c r="C281" s="8" t="str">
        <f>IFERROR(INDEX('Team Master'!$C$3:$C$200,MATCH(B281,'Team Master'!$B$3:$B$200,0)),"")</f>
        <v/>
      </c>
      <c r="D281" s="8"/>
      <c r="E281" s="8"/>
      <c r="F281" s="13"/>
      <c r="G281" s="13"/>
      <c r="H281" s="8">
        <f t="shared" si="4"/>
        <v>0</v>
      </c>
      <c r="I281" s="8"/>
      <c r="J281" s="8"/>
    </row>
    <row r="282" spans="1:10" ht="15" customHeight="1">
      <c r="A282" s="12"/>
      <c r="B282" s="8"/>
      <c r="C282" s="8" t="str">
        <f>IFERROR(INDEX('Team Master'!$C$3:$C$200,MATCH(B282,'Team Master'!$B$3:$B$200,0)),"")</f>
        <v/>
      </c>
      <c r="D282" s="8"/>
      <c r="E282" s="8"/>
      <c r="F282" s="13"/>
      <c r="G282" s="13"/>
      <c r="H282" s="8">
        <f t="shared" si="4"/>
        <v>0</v>
      </c>
      <c r="I282" s="8"/>
      <c r="J282" s="8"/>
    </row>
    <row r="283" spans="1:10" ht="15" customHeight="1">
      <c r="A283" s="12"/>
      <c r="B283" s="8"/>
      <c r="C283" s="8" t="str">
        <f>IFERROR(INDEX('Team Master'!$C$3:$C$200,MATCH(B283,'Team Master'!$B$3:$B$200,0)),"")</f>
        <v/>
      </c>
      <c r="D283" s="8"/>
      <c r="E283" s="8"/>
      <c r="F283" s="13"/>
      <c r="G283" s="13"/>
      <c r="H283" s="8">
        <f t="shared" si="4"/>
        <v>0</v>
      </c>
      <c r="I283" s="8"/>
      <c r="J283" s="8"/>
    </row>
    <row r="284" spans="1:10" ht="15" customHeight="1">
      <c r="A284" s="12"/>
      <c r="B284" s="8"/>
      <c r="C284" s="8" t="str">
        <f>IFERROR(INDEX('Team Master'!$C$3:$C$200,MATCH(B284,'Team Master'!$B$3:$B$200,0)),"")</f>
        <v/>
      </c>
      <c r="D284" s="8"/>
      <c r="E284" s="8"/>
      <c r="F284" s="13"/>
      <c r="G284" s="13"/>
      <c r="H284" s="8">
        <f t="shared" si="4"/>
        <v>0</v>
      </c>
      <c r="I284" s="8"/>
      <c r="J284" s="8"/>
    </row>
    <row r="285" spans="1:10" ht="15" customHeight="1">
      <c r="A285" s="12"/>
      <c r="B285" s="8"/>
      <c r="C285" s="8" t="str">
        <f>IFERROR(INDEX('Team Master'!$C$3:$C$200,MATCH(B285,'Team Master'!$B$3:$B$200,0)),"")</f>
        <v/>
      </c>
      <c r="D285" s="8"/>
      <c r="E285" s="8"/>
      <c r="F285" s="13"/>
      <c r="G285" s="13"/>
      <c r="H285" s="8">
        <f t="shared" si="4"/>
        <v>0</v>
      </c>
      <c r="I285" s="8"/>
      <c r="J285" s="8"/>
    </row>
    <row r="286" spans="1:10" ht="15" customHeight="1">
      <c r="A286" s="12"/>
      <c r="B286" s="8"/>
      <c r="C286" s="8" t="str">
        <f>IFERROR(INDEX('Team Master'!$C$3:$C$200,MATCH(B286,'Team Master'!$B$3:$B$200,0)),"")</f>
        <v/>
      </c>
      <c r="D286" s="8"/>
      <c r="E286" s="8"/>
      <c r="F286" s="13"/>
      <c r="G286" s="13"/>
      <c r="H286" s="8">
        <f t="shared" si="4"/>
        <v>0</v>
      </c>
      <c r="I286" s="8"/>
      <c r="J286" s="8"/>
    </row>
    <row r="287" spans="1:10" ht="15" customHeight="1">
      <c r="A287" s="12"/>
      <c r="B287" s="8"/>
      <c r="C287" s="8" t="str">
        <f>IFERROR(INDEX('Team Master'!$C$3:$C$200,MATCH(B287,'Team Master'!$B$3:$B$200,0)),"")</f>
        <v/>
      </c>
      <c r="D287" s="8"/>
      <c r="E287" s="8"/>
      <c r="F287" s="13"/>
      <c r="G287" s="13"/>
      <c r="H287" s="8">
        <f t="shared" si="4"/>
        <v>0</v>
      </c>
      <c r="I287" s="8"/>
      <c r="J287" s="8"/>
    </row>
    <row r="288" spans="1:10" ht="15" customHeight="1">
      <c r="A288" s="12"/>
      <c r="B288" s="8"/>
      <c r="C288" s="8" t="str">
        <f>IFERROR(INDEX('Team Master'!$C$3:$C$200,MATCH(B288,'Team Master'!$B$3:$B$200,0)),"")</f>
        <v/>
      </c>
      <c r="D288" s="8"/>
      <c r="E288" s="8"/>
      <c r="F288" s="13"/>
      <c r="G288" s="13"/>
      <c r="H288" s="8">
        <f t="shared" si="4"/>
        <v>0</v>
      </c>
      <c r="I288" s="8"/>
      <c r="J288" s="8"/>
    </row>
    <row r="289" spans="1:10" ht="15" customHeight="1">
      <c r="A289" s="12"/>
      <c r="B289" s="8"/>
      <c r="C289" s="8" t="str">
        <f>IFERROR(INDEX('Team Master'!$C$3:$C$200,MATCH(B289,'Team Master'!$B$3:$B$200,0)),"")</f>
        <v/>
      </c>
      <c r="D289" s="8"/>
      <c r="E289" s="8"/>
      <c r="F289" s="13"/>
      <c r="G289" s="13"/>
      <c r="H289" s="8">
        <f t="shared" si="4"/>
        <v>0</v>
      </c>
      <c r="I289" s="8"/>
      <c r="J289" s="8"/>
    </row>
    <row r="290" spans="1:10" ht="15" customHeight="1">
      <c r="A290" s="12"/>
      <c r="B290" s="8"/>
      <c r="C290" s="8" t="str">
        <f>IFERROR(INDEX('Team Master'!$C$3:$C$200,MATCH(B290,'Team Master'!$B$3:$B$200,0)),"")</f>
        <v/>
      </c>
      <c r="D290" s="8"/>
      <c r="E290" s="8"/>
      <c r="F290" s="13"/>
      <c r="G290" s="13"/>
      <c r="H290" s="8">
        <f t="shared" si="4"/>
        <v>0</v>
      </c>
      <c r="I290" s="8"/>
      <c r="J290" s="8"/>
    </row>
    <row r="291" spans="1:10" ht="15" customHeight="1">
      <c r="A291" s="12"/>
      <c r="B291" s="8"/>
      <c r="C291" s="8" t="str">
        <f>IFERROR(INDEX('Team Master'!$C$3:$C$200,MATCH(B291,'Team Master'!$B$3:$B$200,0)),"")</f>
        <v/>
      </c>
      <c r="D291" s="8"/>
      <c r="E291" s="8"/>
      <c r="F291" s="13"/>
      <c r="G291" s="13"/>
      <c r="H291" s="8">
        <f t="shared" si="4"/>
        <v>0</v>
      </c>
      <c r="I291" s="8"/>
      <c r="J291" s="8"/>
    </row>
    <row r="292" spans="1:10" ht="15" customHeight="1">
      <c r="A292" s="12"/>
      <c r="B292" s="8"/>
      <c r="C292" s="8" t="str">
        <f>IFERROR(INDEX('Team Master'!$C$3:$C$200,MATCH(B292,'Team Master'!$B$3:$B$200,0)),"")</f>
        <v/>
      </c>
      <c r="D292" s="8"/>
      <c r="E292" s="8"/>
      <c r="F292" s="13"/>
      <c r="G292" s="13"/>
      <c r="H292" s="8">
        <f t="shared" si="4"/>
        <v>0</v>
      </c>
      <c r="I292" s="8"/>
      <c r="J292" s="8"/>
    </row>
    <row r="293" spans="1:10" ht="15" customHeight="1">
      <c r="A293" s="12"/>
      <c r="B293" s="8"/>
      <c r="C293" s="8" t="str">
        <f>IFERROR(INDEX('Team Master'!$C$3:$C$200,MATCH(B293,'Team Master'!$B$3:$B$200,0)),"")</f>
        <v/>
      </c>
      <c r="D293" s="8"/>
      <c r="E293" s="8"/>
      <c r="F293" s="13"/>
      <c r="G293" s="13"/>
      <c r="H293" s="8">
        <f t="shared" si="4"/>
        <v>0</v>
      </c>
      <c r="I293" s="8"/>
      <c r="J293" s="8"/>
    </row>
    <row r="294" spans="1:10" ht="15" customHeight="1">
      <c r="A294" s="12"/>
      <c r="B294" s="8"/>
      <c r="C294" s="8" t="str">
        <f>IFERROR(INDEX('Team Master'!$C$3:$C$200,MATCH(B294,'Team Master'!$B$3:$B$200,0)),"")</f>
        <v/>
      </c>
      <c r="D294" s="8"/>
      <c r="E294" s="8"/>
      <c r="F294" s="13"/>
      <c r="G294" s="13"/>
      <c r="H294" s="8">
        <f t="shared" si="4"/>
        <v>0</v>
      </c>
      <c r="I294" s="8"/>
      <c r="J294" s="8"/>
    </row>
    <row r="295" spans="1:10" ht="15" customHeight="1">
      <c r="A295" s="12"/>
      <c r="B295" s="8"/>
      <c r="C295" s="8" t="str">
        <f>IFERROR(INDEX('Team Master'!$C$3:$C$200,MATCH(B295,'Team Master'!$B$3:$B$200,0)),"")</f>
        <v/>
      </c>
      <c r="D295" s="8"/>
      <c r="E295" s="8"/>
      <c r="F295" s="13"/>
      <c r="G295" s="13"/>
      <c r="H295" s="8">
        <f t="shared" si="4"/>
        <v>0</v>
      </c>
      <c r="I295" s="8"/>
      <c r="J295" s="8"/>
    </row>
    <row r="296" spans="1:10" ht="15" customHeight="1">
      <c r="A296" s="12"/>
      <c r="B296" s="8"/>
      <c r="C296" s="8" t="str">
        <f>IFERROR(INDEX('Team Master'!$C$3:$C$200,MATCH(B296,'Team Master'!$B$3:$B$200,0)),"")</f>
        <v/>
      </c>
      <c r="D296" s="8"/>
      <c r="E296" s="8"/>
      <c r="F296" s="13"/>
      <c r="G296" s="13"/>
      <c r="H296" s="8">
        <f t="shared" si="4"/>
        <v>0</v>
      </c>
      <c r="I296" s="8"/>
      <c r="J296" s="8"/>
    </row>
    <row r="297" spans="1:10" ht="15" customHeight="1">
      <c r="A297" s="12"/>
      <c r="B297" s="8"/>
      <c r="C297" s="8" t="str">
        <f>IFERROR(INDEX('Team Master'!$C$3:$C$200,MATCH(B297,'Team Master'!$B$3:$B$200,0)),"")</f>
        <v/>
      </c>
      <c r="D297" s="8"/>
      <c r="E297" s="8"/>
      <c r="F297" s="13"/>
      <c r="G297" s="13"/>
      <c r="H297" s="8">
        <f t="shared" si="4"/>
        <v>0</v>
      </c>
      <c r="I297" s="8"/>
      <c r="J297" s="8"/>
    </row>
    <row r="298" spans="1:10" ht="15" customHeight="1">
      <c r="A298" s="12"/>
      <c r="B298" s="8"/>
      <c r="C298" s="8" t="str">
        <f>IFERROR(INDEX('Team Master'!$C$3:$C$200,MATCH(B298,'Team Master'!$B$3:$B$200,0)),"")</f>
        <v/>
      </c>
      <c r="D298" s="8"/>
      <c r="E298" s="8"/>
      <c r="F298" s="13"/>
      <c r="G298" s="13"/>
      <c r="H298" s="8">
        <f t="shared" si="4"/>
        <v>0</v>
      </c>
      <c r="I298" s="8"/>
      <c r="J298" s="8"/>
    </row>
    <row r="299" spans="1:10" ht="15" customHeight="1">
      <c r="A299" s="12"/>
      <c r="B299" s="8"/>
      <c r="C299" s="8" t="str">
        <f>IFERROR(INDEX('Team Master'!$C$3:$C$200,MATCH(B299,'Team Master'!$B$3:$B$200,0)),"")</f>
        <v/>
      </c>
      <c r="D299" s="8"/>
      <c r="E299" s="8"/>
      <c r="F299" s="13"/>
      <c r="G299" s="13"/>
      <c r="H299" s="8">
        <f t="shared" si="4"/>
        <v>0</v>
      </c>
      <c r="I299" s="8"/>
      <c r="J299" s="8"/>
    </row>
    <row r="300" spans="1:10" ht="15" customHeight="1">
      <c r="A300" s="12"/>
      <c r="B300" s="8"/>
      <c r="C300" s="8" t="str">
        <f>IFERROR(INDEX('Team Master'!$C$3:$C$200,MATCH(B300,'Team Master'!$B$3:$B$200,0)),"")</f>
        <v/>
      </c>
      <c r="D300" s="8"/>
      <c r="E300" s="8"/>
      <c r="F300" s="13"/>
      <c r="G300" s="13"/>
      <c r="H300" s="8">
        <f t="shared" si="4"/>
        <v>0</v>
      </c>
      <c r="I300" s="8"/>
      <c r="J300" s="8"/>
    </row>
    <row r="301" spans="1:10" ht="15" customHeight="1">
      <c r="A301" s="12"/>
      <c r="B301" s="8"/>
      <c r="C301" s="8" t="str">
        <f>IFERROR(INDEX('Team Master'!$C$3:$C$200,MATCH(B301,'Team Master'!$B$3:$B$200,0)),"")</f>
        <v/>
      </c>
      <c r="D301" s="8"/>
      <c r="E301" s="8"/>
      <c r="F301" s="13"/>
      <c r="G301" s="13"/>
      <c r="H301" s="8">
        <f t="shared" si="4"/>
        <v>0</v>
      </c>
      <c r="I301" s="8"/>
      <c r="J301" s="8"/>
    </row>
    <row r="302" spans="1:10" ht="15" customHeight="1">
      <c r="A302" s="12"/>
      <c r="B302" s="8"/>
      <c r="C302" s="8" t="str">
        <f>IFERROR(INDEX('Team Master'!$C$3:$C$200,MATCH(B302,'Team Master'!$B$3:$B$200,0)),"")</f>
        <v/>
      </c>
      <c r="D302" s="8"/>
      <c r="E302" s="8"/>
      <c r="F302" s="13"/>
      <c r="G302" s="13"/>
      <c r="H302" s="8">
        <f t="shared" si="4"/>
        <v>0</v>
      </c>
      <c r="I302" s="8"/>
      <c r="J302" s="8"/>
    </row>
    <row r="303" spans="1:10" ht="15" customHeight="1">
      <c r="A303" s="12"/>
      <c r="B303" s="8"/>
      <c r="C303" s="8" t="str">
        <f>IFERROR(INDEX('Team Master'!$C$3:$C$200,MATCH(B303,'Team Master'!$B$3:$B$200,0)),"")</f>
        <v/>
      </c>
      <c r="D303" s="8"/>
      <c r="E303" s="8"/>
      <c r="F303" s="13"/>
      <c r="G303" s="13"/>
      <c r="H303" s="8">
        <f t="shared" si="4"/>
        <v>0</v>
      </c>
      <c r="I303" s="8"/>
      <c r="J303" s="8"/>
    </row>
    <row r="304" spans="1:10" ht="15" customHeight="1">
      <c r="A304" s="12"/>
      <c r="B304" s="8"/>
      <c r="C304" s="8" t="str">
        <f>IFERROR(INDEX('Team Master'!$C$3:$C$200,MATCH(B304,'Team Master'!$B$3:$B$200,0)),"")</f>
        <v/>
      </c>
      <c r="D304" s="8"/>
      <c r="E304" s="8"/>
      <c r="F304" s="13"/>
      <c r="G304" s="13"/>
      <c r="H304" s="8">
        <f t="shared" si="4"/>
        <v>0</v>
      </c>
      <c r="I304" s="8"/>
      <c r="J304" s="8"/>
    </row>
    <row r="305" spans="1:10" ht="15" customHeight="1">
      <c r="A305" s="12"/>
      <c r="B305" s="8"/>
      <c r="C305" s="8" t="str">
        <f>IFERROR(INDEX('Team Master'!$C$3:$C$200,MATCH(B305,'Team Master'!$B$3:$B$200,0)),"")</f>
        <v/>
      </c>
      <c r="D305" s="8"/>
      <c r="E305" s="8"/>
      <c r="F305" s="13"/>
      <c r="G305" s="13"/>
      <c r="H305" s="8">
        <f t="shared" si="4"/>
        <v>0</v>
      </c>
      <c r="I305" s="8"/>
      <c r="J305" s="8"/>
    </row>
    <row r="306" spans="1:10" ht="15" customHeight="1">
      <c r="A306" s="12"/>
      <c r="B306" s="8"/>
      <c r="C306" s="8" t="str">
        <f>IFERROR(INDEX('Team Master'!$C$3:$C$200,MATCH(B306,'Team Master'!$B$3:$B$200,0)),"")</f>
        <v/>
      </c>
      <c r="D306" s="8"/>
      <c r="E306" s="8"/>
      <c r="F306" s="13"/>
      <c r="G306" s="13"/>
      <c r="H306" s="8">
        <f t="shared" si="4"/>
        <v>0</v>
      </c>
      <c r="I306" s="8"/>
      <c r="J306" s="8"/>
    </row>
    <row r="307" spans="1:10" ht="15" customHeight="1">
      <c r="A307" s="12"/>
      <c r="B307" s="8"/>
      <c r="C307" s="8" t="str">
        <f>IFERROR(INDEX('Team Master'!$C$3:$C$200,MATCH(B307,'Team Master'!$B$3:$B$200,0)),"")</f>
        <v/>
      </c>
      <c r="D307" s="8"/>
      <c r="E307" s="8"/>
      <c r="F307" s="13"/>
      <c r="G307" s="13"/>
      <c r="H307" s="8">
        <f t="shared" si="4"/>
        <v>0</v>
      </c>
      <c r="I307" s="8"/>
      <c r="J307" s="8"/>
    </row>
    <row r="308" spans="1:10" ht="15" customHeight="1">
      <c r="A308" s="12"/>
      <c r="B308" s="8"/>
      <c r="C308" s="8" t="str">
        <f>IFERROR(INDEX('Team Master'!$C$3:$C$200,MATCH(B308,'Team Master'!$B$3:$B$200,0)),"")</f>
        <v/>
      </c>
      <c r="D308" s="8"/>
      <c r="E308" s="8"/>
      <c r="F308" s="13"/>
      <c r="G308" s="13"/>
      <c r="H308" s="8">
        <f t="shared" si="4"/>
        <v>0</v>
      </c>
      <c r="I308" s="8"/>
      <c r="J308" s="8"/>
    </row>
    <row r="309" spans="1:10" ht="15" customHeight="1">
      <c r="A309" s="12"/>
      <c r="B309" s="8"/>
      <c r="C309" s="8" t="str">
        <f>IFERROR(INDEX('Team Master'!$C$3:$C$200,MATCH(B309,'Team Master'!$B$3:$B$200,0)),"")</f>
        <v/>
      </c>
      <c r="D309" s="8"/>
      <c r="E309" s="8"/>
      <c r="F309" s="13"/>
      <c r="G309" s="13"/>
      <c r="H309" s="8">
        <f t="shared" si="4"/>
        <v>0</v>
      </c>
      <c r="I309" s="8"/>
      <c r="J309" s="8"/>
    </row>
    <row r="310" spans="1:10" ht="15" customHeight="1">
      <c r="A310" s="12"/>
      <c r="B310" s="8"/>
      <c r="C310" s="8" t="str">
        <f>IFERROR(INDEX('Team Master'!$C$3:$C$200,MATCH(B310,'Team Master'!$B$3:$B$200,0)),"")</f>
        <v/>
      </c>
      <c r="D310" s="8"/>
      <c r="E310" s="8"/>
      <c r="F310" s="13"/>
      <c r="G310" s="13"/>
      <c r="H310" s="8">
        <f t="shared" si="4"/>
        <v>0</v>
      </c>
      <c r="I310" s="8"/>
      <c r="J310" s="8"/>
    </row>
    <row r="311" spans="1:10" ht="15" customHeight="1">
      <c r="A311" s="12"/>
      <c r="B311" s="8"/>
      <c r="C311" s="8" t="str">
        <f>IFERROR(INDEX('Team Master'!$C$3:$C$200,MATCH(B311,'Team Master'!$B$3:$B$200,0)),"")</f>
        <v/>
      </c>
      <c r="D311" s="8"/>
      <c r="E311" s="8"/>
      <c r="F311" s="13"/>
      <c r="G311" s="13"/>
      <c r="H311" s="8">
        <f t="shared" si="4"/>
        <v>0</v>
      </c>
      <c r="I311" s="8"/>
      <c r="J311" s="8"/>
    </row>
    <row r="312" spans="1:10" ht="15" customHeight="1">
      <c r="A312" s="12"/>
      <c r="B312" s="8"/>
      <c r="C312" s="8" t="str">
        <f>IFERROR(INDEX('Team Master'!$C$3:$C$200,MATCH(B312,'Team Master'!$B$3:$B$200,0)),"")</f>
        <v/>
      </c>
      <c r="D312" s="8"/>
      <c r="E312" s="8"/>
      <c r="F312" s="13"/>
      <c r="G312" s="13"/>
      <c r="H312" s="8">
        <f t="shared" si="4"/>
        <v>0</v>
      </c>
      <c r="I312" s="8"/>
      <c r="J312" s="8"/>
    </row>
    <row r="313" spans="1:10" ht="15" customHeight="1">
      <c r="A313" s="12"/>
      <c r="B313" s="8"/>
      <c r="C313" s="8" t="str">
        <f>IFERROR(INDEX('Team Master'!$C$3:$C$200,MATCH(B313,'Team Master'!$B$3:$B$200,0)),"")</f>
        <v/>
      </c>
      <c r="D313" s="8"/>
      <c r="E313" s="8"/>
      <c r="F313" s="13"/>
      <c r="G313" s="13"/>
      <c r="H313" s="8">
        <f t="shared" si="4"/>
        <v>0</v>
      </c>
      <c r="I313" s="8"/>
      <c r="J313" s="8"/>
    </row>
    <row r="314" spans="1:10" ht="15" customHeight="1">
      <c r="A314" s="12"/>
      <c r="B314" s="8"/>
      <c r="C314" s="8" t="str">
        <f>IFERROR(INDEX('Team Master'!$C$3:$C$200,MATCH(B314,'Team Master'!$B$3:$B$200,0)),"")</f>
        <v/>
      </c>
      <c r="D314" s="8"/>
      <c r="E314" s="8"/>
      <c r="F314" s="13"/>
      <c r="G314" s="13"/>
      <c r="H314" s="8">
        <f t="shared" si="4"/>
        <v>0</v>
      </c>
      <c r="I314" s="8"/>
      <c r="J314" s="8"/>
    </row>
    <row r="315" spans="1:10" ht="15" customHeight="1">
      <c r="A315" s="12"/>
      <c r="B315" s="8"/>
      <c r="C315" s="8" t="str">
        <f>IFERROR(INDEX('Team Master'!$C$3:$C$200,MATCH(B315,'Team Master'!$B$3:$B$200,0)),"")</f>
        <v/>
      </c>
      <c r="D315" s="8"/>
      <c r="E315" s="8"/>
      <c r="F315" s="13"/>
      <c r="G315" s="13"/>
      <c r="H315" s="8">
        <f t="shared" si="4"/>
        <v>0</v>
      </c>
      <c r="I315" s="8"/>
      <c r="J315" s="8"/>
    </row>
    <row r="316" spans="1:10" ht="15" customHeight="1">
      <c r="A316" s="12"/>
      <c r="B316" s="8"/>
      <c r="C316" s="8" t="str">
        <f>IFERROR(INDEX('Team Master'!$C$3:$C$200,MATCH(B316,'Team Master'!$B$3:$B$200,0)),"")</f>
        <v/>
      </c>
      <c r="D316" s="8"/>
      <c r="E316" s="8"/>
      <c r="F316" s="13"/>
      <c r="G316" s="13"/>
      <c r="H316" s="8">
        <f t="shared" si="4"/>
        <v>0</v>
      </c>
      <c r="I316" s="8"/>
      <c r="J316" s="8"/>
    </row>
    <row r="317" spans="1:10" ht="15" customHeight="1">
      <c r="A317" s="12"/>
      <c r="B317" s="8"/>
      <c r="C317" s="8" t="str">
        <f>IFERROR(INDEX('Team Master'!$C$3:$C$200,MATCH(B317,'Team Master'!$B$3:$B$200,0)),"")</f>
        <v/>
      </c>
      <c r="D317" s="8"/>
      <c r="E317" s="8"/>
      <c r="F317" s="13"/>
      <c r="G317" s="13"/>
      <c r="H317" s="8">
        <f t="shared" si="4"/>
        <v>0</v>
      </c>
      <c r="I317" s="8"/>
      <c r="J317" s="8"/>
    </row>
    <row r="318" spans="1:10" ht="15" customHeight="1">
      <c r="A318" s="12"/>
      <c r="B318" s="8"/>
      <c r="C318" s="8" t="str">
        <f>IFERROR(INDEX('Team Master'!$C$3:$C$200,MATCH(B318,'Team Master'!$B$3:$B$200,0)),"")</f>
        <v/>
      </c>
      <c r="D318" s="8"/>
      <c r="E318" s="8"/>
      <c r="F318" s="13"/>
      <c r="G318" s="13"/>
      <c r="H318" s="8">
        <f t="shared" si="4"/>
        <v>0</v>
      </c>
      <c r="I318" s="8"/>
      <c r="J318" s="8"/>
    </row>
    <row r="319" spans="1:10" ht="15" customHeight="1">
      <c r="A319" s="12"/>
      <c r="B319" s="8"/>
      <c r="C319" s="8" t="str">
        <f>IFERROR(INDEX('Team Master'!$C$3:$C$200,MATCH(B319,'Team Master'!$B$3:$B$200,0)),"")</f>
        <v/>
      </c>
      <c r="D319" s="8"/>
      <c r="E319" s="8"/>
      <c r="F319" s="13"/>
      <c r="G319" s="13"/>
      <c r="H319" s="8">
        <f t="shared" si="4"/>
        <v>0</v>
      </c>
      <c r="I319" s="8"/>
      <c r="J319" s="8"/>
    </row>
    <row r="320" spans="1:10" ht="15" customHeight="1">
      <c r="A320" s="12"/>
      <c r="B320" s="8"/>
      <c r="C320" s="8" t="str">
        <f>IFERROR(INDEX('Team Master'!$C$3:$C$200,MATCH(B320,'Team Master'!$B$3:$B$200,0)),"")</f>
        <v/>
      </c>
      <c r="D320" s="8"/>
      <c r="E320" s="8"/>
      <c r="F320" s="13"/>
      <c r="G320" s="13"/>
      <c r="H320" s="8">
        <f t="shared" si="4"/>
        <v>0</v>
      </c>
      <c r="I320" s="8"/>
      <c r="J320" s="8"/>
    </row>
    <row r="321" spans="1:10" ht="15" customHeight="1">
      <c r="A321" s="12"/>
      <c r="B321" s="8"/>
      <c r="C321" s="8" t="str">
        <f>IFERROR(INDEX('Team Master'!$C$3:$C$200,MATCH(B321,'Team Master'!$B$3:$B$200,0)),"")</f>
        <v/>
      </c>
      <c r="D321" s="8"/>
      <c r="E321" s="8"/>
      <c r="F321" s="13"/>
      <c r="G321" s="13"/>
      <c r="H321" s="8">
        <f t="shared" si="4"/>
        <v>0</v>
      </c>
      <c r="I321" s="8"/>
      <c r="J321" s="8"/>
    </row>
    <row r="322" spans="1:10" ht="15" customHeight="1">
      <c r="A322" s="12"/>
      <c r="B322" s="8"/>
      <c r="C322" s="8" t="str">
        <f>IFERROR(INDEX('Team Master'!$C$3:$C$200,MATCH(B322,'Team Master'!$B$3:$B$200,0)),"")</f>
        <v/>
      </c>
      <c r="D322" s="8"/>
      <c r="E322" s="8"/>
      <c r="F322" s="13"/>
      <c r="G322" s="13"/>
      <c r="H322" s="8">
        <f t="shared" si="4"/>
        <v>0</v>
      </c>
      <c r="I322" s="8"/>
      <c r="J322" s="8"/>
    </row>
    <row r="323" spans="1:10" ht="15" customHeight="1">
      <c r="A323" s="12"/>
      <c r="B323" s="8"/>
      <c r="C323" s="8" t="str">
        <f>IFERROR(INDEX('Team Master'!$C$3:$C$200,MATCH(B323,'Team Master'!$B$3:$B$200,0)),"")</f>
        <v/>
      </c>
      <c r="D323" s="8"/>
      <c r="E323" s="8"/>
      <c r="F323" s="13"/>
      <c r="G323" s="13"/>
      <c r="H323" s="8">
        <f t="shared" si="4"/>
        <v>0</v>
      </c>
      <c r="I323" s="8"/>
      <c r="J323" s="8"/>
    </row>
    <row r="324" spans="1:10" ht="15" customHeight="1">
      <c r="A324" s="12"/>
      <c r="B324" s="8"/>
      <c r="C324" s="8" t="str">
        <f>IFERROR(INDEX('Team Master'!$C$3:$C$200,MATCH(B324,'Team Master'!$B$3:$B$200,0)),"")</f>
        <v/>
      </c>
      <c r="D324" s="8"/>
      <c r="E324" s="8"/>
      <c r="F324" s="13"/>
      <c r="G324" s="13"/>
      <c r="H324" s="8">
        <f t="shared" ref="H324:H387" si="5">IF(AND(F324&lt;&gt;"",G324&lt;&gt;""),ROUND((G324-F324)*24,2),0)</f>
        <v>0</v>
      </c>
      <c r="I324" s="8"/>
      <c r="J324" s="8"/>
    </row>
    <row r="325" spans="1:10" ht="15" customHeight="1">
      <c r="A325" s="12"/>
      <c r="B325" s="8"/>
      <c r="C325" s="8" t="str">
        <f>IFERROR(INDEX('Team Master'!$C$3:$C$200,MATCH(B325,'Team Master'!$B$3:$B$200,0)),"")</f>
        <v/>
      </c>
      <c r="D325" s="8"/>
      <c r="E325" s="8"/>
      <c r="F325" s="13"/>
      <c r="G325" s="13"/>
      <c r="H325" s="8">
        <f t="shared" si="5"/>
        <v>0</v>
      </c>
      <c r="I325" s="8"/>
      <c r="J325" s="8"/>
    </row>
    <row r="326" spans="1:10" ht="15" customHeight="1">
      <c r="A326" s="12"/>
      <c r="B326" s="8"/>
      <c r="C326" s="8" t="str">
        <f>IFERROR(INDEX('Team Master'!$C$3:$C$200,MATCH(B326,'Team Master'!$B$3:$B$200,0)),"")</f>
        <v/>
      </c>
      <c r="D326" s="8"/>
      <c r="E326" s="8"/>
      <c r="F326" s="13"/>
      <c r="G326" s="13"/>
      <c r="H326" s="8">
        <f t="shared" si="5"/>
        <v>0</v>
      </c>
      <c r="I326" s="8"/>
      <c r="J326" s="8"/>
    </row>
    <row r="327" spans="1:10" ht="15" customHeight="1">
      <c r="A327" s="12"/>
      <c r="B327" s="8"/>
      <c r="C327" s="8" t="str">
        <f>IFERROR(INDEX('Team Master'!$C$3:$C$200,MATCH(B327,'Team Master'!$B$3:$B$200,0)),"")</f>
        <v/>
      </c>
      <c r="D327" s="8"/>
      <c r="E327" s="8"/>
      <c r="F327" s="13"/>
      <c r="G327" s="13"/>
      <c r="H327" s="8">
        <f t="shared" si="5"/>
        <v>0</v>
      </c>
      <c r="I327" s="8"/>
      <c r="J327" s="8"/>
    </row>
    <row r="328" spans="1:10" ht="15" customHeight="1">
      <c r="A328" s="12"/>
      <c r="B328" s="8"/>
      <c r="C328" s="8" t="str">
        <f>IFERROR(INDEX('Team Master'!$C$3:$C$200,MATCH(B328,'Team Master'!$B$3:$B$200,0)),"")</f>
        <v/>
      </c>
      <c r="D328" s="8"/>
      <c r="E328" s="8"/>
      <c r="F328" s="13"/>
      <c r="G328" s="13"/>
      <c r="H328" s="8">
        <f t="shared" si="5"/>
        <v>0</v>
      </c>
      <c r="I328" s="8"/>
      <c r="J328" s="8"/>
    </row>
    <row r="329" spans="1:10" ht="15" customHeight="1">
      <c r="A329" s="12"/>
      <c r="B329" s="8"/>
      <c r="C329" s="8" t="str">
        <f>IFERROR(INDEX('Team Master'!$C$3:$C$200,MATCH(B329,'Team Master'!$B$3:$B$200,0)),"")</f>
        <v/>
      </c>
      <c r="D329" s="8"/>
      <c r="E329" s="8"/>
      <c r="F329" s="13"/>
      <c r="G329" s="13"/>
      <c r="H329" s="8">
        <f t="shared" si="5"/>
        <v>0</v>
      </c>
      <c r="I329" s="8"/>
      <c r="J329" s="8"/>
    </row>
    <row r="330" spans="1:10" ht="15" customHeight="1">
      <c r="A330" s="12"/>
      <c r="B330" s="8"/>
      <c r="C330" s="8" t="str">
        <f>IFERROR(INDEX('Team Master'!$C$3:$C$200,MATCH(B330,'Team Master'!$B$3:$B$200,0)),"")</f>
        <v/>
      </c>
      <c r="D330" s="8"/>
      <c r="E330" s="8"/>
      <c r="F330" s="13"/>
      <c r="G330" s="13"/>
      <c r="H330" s="8">
        <f t="shared" si="5"/>
        <v>0</v>
      </c>
      <c r="I330" s="8"/>
      <c r="J330" s="8"/>
    </row>
    <row r="331" spans="1:10" ht="15" customHeight="1">
      <c r="A331" s="12"/>
      <c r="B331" s="8"/>
      <c r="C331" s="8" t="str">
        <f>IFERROR(INDEX('Team Master'!$C$3:$C$200,MATCH(B331,'Team Master'!$B$3:$B$200,0)),"")</f>
        <v/>
      </c>
      <c r="D331" s="8"/>
      <c r="E331" s="8"/>
      <c r="F331" s="13"/>
      <c r="G331" s="13"/>
      <c r="H331" s="8">
        <f t="shared" si="5"/>
        <v>0</v>
      </c>
      <c r="I331" s="8"/>
      <c r="J331" s="8"/>
    </row>
    <row r="332" spans="1:10" ht="15" customHeight="1">
      <c r="A332" s="12"/>
      <c r="B332" s="8"/>
      <c r="C332" s="8" t="str">
        <f>IFERROR(INDEX('Team Master'!$C$3:$C$200,MATCH(B332,'Team Master'!$B$3:$B$200,0)),"")</f>
        <v/>
      </c>
      <c r="D332" s="8"/>
      <c r="E332" s="8"/>
      <c r="F332" s="13"/>
      <c r="G332" s="13"/>
      <c r="H332" s="8">
        <f t="shared" si="5"/>
        <v>0</v>
      </c>
      <c r="I332" s="8"/>
      <c r="J332" s="8"/>
    </row>
    <row r="333" spans="1:10" ht="15" customHeight="1">
      <c r="A333" s="12"/>
      <c r="B333" s="8"/>
      <c r="C333" s="8" t="str">
        <f>IFERROR(INDEX('Team Master'!$C$3:$C$200,MATCH(B333,'Team Master'!$B$3:$B$200,0)),"")</f>
        <v/>
      </c>
      <c r="D333" s="8"/>
      <c r="E333" s="8"/>
      <c r="F333" s="13"/>
      <c r="G333" s="13"/>
      <c r="H333" s="8">
        <f t="shared" si="5"/>
        <v>0</v>
      </c>
      <c r="I333" s="8"/>
      <c r="J333" s="8"/>
    </row>
    <row r="334" spans="1:10" ht="15" customHeight="1">
      <c r="A334" s="12"/>
      <c r="B334" s="8"/>
      <c r="C334" s="8" t="str">
        <f>IFERROR(INDEX('Team Master'!$C$3:$C$200,MATCH(B334,'Team Master'!$B$3:$B$200,0)),"")</f>
        <v/>
      </c>
      <c r="D334" s="8"/>
      <c r="E334" s="8"/>
      <c r="F334" s="13"/>
      <c r="G334" s="13"/>
      <c r="H334" s="8">
        <f t="shared" si="5"/>
        <v>0</v>
      </c>
      <c r="I334" s="8"/>
      <c r="J334" s="8"/>
    </row>
    <row r="335" spans="1:10" ht="15" customHeight="1">
      <c r="A335" s="12"/>
      <c r="B335" s="8"/>
      <c r="C335" s="8" t="str">
        <f>IFERROR(INDEX('Team Master'!$C$3:$C$200,MATCH(B335,'Team Master'!$B$3:$B$200,0)),"")</f>
        <v/>
      </c>
      <c r="D335" s="8"/>
      <c r="E335" s="8"/>
      <c r="F335" s="13"/>
      <c r="G335" s="13"/>
      <c r="H335" s="8">
        <f t="shared" si="5"/>
        <v>0</v>
      </c>
      <c r="I335" s="8"/>
      <c r="J335" s="8"/>
    </row>
    <row r="336" spans="1:10" ht="15" customHeight="1">
      <c r="A336" s="12"/>
      <c r="B336" s="8"/>
      <c r="C336" s="8" t="str">
        <f>IFERROR(INDEX('Team Master'!$C$3:$C$200,MATCH(B336,'Team Master'!$B$3:$B$200,0)),"")</f>
        <v/>
      </c>
      <c r="D336" s="8"/>
      <c r="E336" s="8"/>
      <c r="F336" s="13"/>
      <c r="G336" s="13"/>
      <c r="H336" s="8">
        <f t="shared" si="5"/>
        <v>0</v>
      </c>
      <c r="I336" s="8"/>
      <c r="J336" s="8"/>
    </row>
    <row r="337" spans="1:10" ht="15" customHeight="1">
      <c r="A337" s="12"/>
      <c r="B337" s="8"/>
      <c r="C337" s="8" t="str">
        <f>IFERROR(INDEX('Team Master'!$C$3:$C$200,MATCH(B337,'Team Master'!$B$3:$B$200,0)),"")</f>
        <v/>
      </c>
      <c r="D337" s="8"/>
      <c r="E337" s="8"/>
      <c r="F337" s="13"/>
      <c r="G337" s="13"/>
      <c r="H337" s="8">
        <f t="shared" si="5"/>
        <v>0</v>
      </c>
      <c r="I337" s="8"/>
      <c r="J337" s="8"/>
    </row>
    <row r="338" spans="1:10" ht="15" customHeight="1">
      <c r="A338" s="12"/>
      <c r="B338" s="8"/>
      <c r="C338" s="8" t="str">
        <f>IFERROR(INDEX('Team Master'!$C$3:$C$200,MATCH(B338,'Team Master'!$B$3:$B$200,0)),"")</f>
        <v/>
      </c>
      <c r="D338" s="8"/>
      <c r="E338" s="8"/>
      <c r="F338" s="13"/>
      <c r="G338" s="13"/>
      <c r="H338" s="8">
        <f t="shared" si="5"/>
        <v>0</v>
      </c>
      <c r="I338" s="8"/>
      <c r="J338" s="8"/>
    </row>
    <row r="339" spans="1:10" ht="15" customHeight="1">
      <c r="A339" s="12"/>
      <c r="B339" s="8"/>
      <c r="C339" s="8" t="str">
        <f>IFERROR(INDEX('Team Master'!$C$3:$C$200,MATCH(B339,'Team Master'!$B$3:$B$200,0)),"")</f>
        <v/>
      </c>
      <c r="D339" s="8"/>
      <c r="E339" s="8"/>
      <c r="F339" s="13"/>
      <c r="G339" s="13"/>
      <c r="H339" s="8">
        <f t="shared" si="5"/>
        <v>0</v>
      </c>
      <c r="I339" s="8"/>
      <c r="J339" s="8"/>
    </row>
    <row r="340" spans="1:10" ht="15" customHeight="1">
      <c r="A340" s="12"/>
      <c r="B340" s="8"/>
      <c r="C340" s="8" t="str">
        <f>IFERROR(INDEX('Team Master'!$C$3:$C$200,MATCH(B340,'Team Master'!$B$3:$B$200,0)),"")</f>
        <v/>
      </c>
      <c r="D340" s="8"/>
      <c r="E340" s="8"/>
      <c r="F340" s="13"/>
      <c r="G340" s="13"/>
      <c r="H340" s="8">
        <f t="shared" si="5"/>
        <v>0</v>
      </c>
      <c r="I340" s="8"/>
      <c r="J340" s="8"/>
    </row>
    <row r="341" spans="1:10" ht="15" customHeight="1">
      <c r="A341" s="12"/>
      <c r="B341" s="8"/>
      <c r="C341" s="8" t="str">
        <f>IFERROR(INDEX('Team Master'!$C$3:$C$200,MATCH(B341,'Team Master'!$B$3:$B$200,0)),"")</f>
        <v/>
      </c>
      <c r="D341" s="8"/>
      <c r="E341" s="8"/>
      <c r="F341" s="13"/>
      <c r="G341" s="13"/>
      <c r="H341" s="8">
        <f t="shared" si="5"/>
        <v>0</v>
      </c>
      <c r="I341" s="8"/>
      <c r="J341" s="8"/>
    </row>
    <row r="342" spans="1:10" ht="15" customHeight="1">
      <c r="A342" s="12"/>
      <c r="B342" s="8"/>
      <c r="C342" s="8" t="str">
        <f>IFERROR(INDEX('Team Master'!$C$3:$C$200,MATCH(B342,'Team Master'!$B$3:$B$200,0)),"")</f>
        <v/>
      </c>
      <c r="D342" s="8"/>
      <c r="E342" s="8"/>
      <c r="F342" s="13"/>
      <c r="G342" s="13"/>
      <c r="H342" s="8">
        <f t="shared" si="5"/>
        <v>0</v>
      </c>
      <c r="I342" s="8"/>
      <c r="J342" s="8"/>
    </row>
    <row r="343" spans="1:10" ht="15" customHeight="1">
      <c r="A343" s="12"/>
      <c r="B343" s="8"/>
      <c r="C343" s="8" t="str">
        <f>IFERROR(INDEX('Team Master'!$C$3:$C$200,MATCH(B343,'Team Master'!$B$3:$B$200,0)),"")</f>
        <v/>
      </c>
      <c r="D343" s="8"/>
      <c r="E343" s="8"/>
      <c r="F343" s="13"/>
      <c r="G343" s="13"/>
      <c r="H343" s="8">
        <f t="shared" si="5"/>
        <v>0</v>
      </c>
      <c r="I343" s="8"/>
      <c r="J343" s="8"/>
    </row>
    <row r="344" spans="1:10" ht="15" customHeight="1">
      <c r="A344" s="12"/>
      <c r="B344" s="8"/>
      <c r="C344" s="8" t="str">
        <f>IFERROR(INDEX('Team Master'!$C$3:$C$200,MATCH(B344,'Team Master'!$B$3:$B$200,0)),"")</f>
        <v/>
      </c>
      <c r="D344" s="8"/>
      <c r="E344" s="8"/>
      <c r="F344" s="13"/>
      <c r="G344" s="13"/>
      <c r="H344" s="8">
        <f t="shared" si="5"/>
        <v>0</v>
      </c>
      <c r="I344" s="8"/>
      <c r="J344" s="8"/>
    </row>
    <row r="345" spans="1:10" ht="15" customHeight="1">
      <c r="A345" s="12"/>
      <c r="B345" s="8"/>
      <c r="C345" s="8" t="str">
        <f>IFERROR(INDEX('Team Master'!$C$3:$C$200,MATCH(B345,'Team Master'!$B$3:$B$200,0)),"")</f>
        <v/>
      </c>
      <c r="D345" s="8"/>
      <c r="E345" s="8"/>
      <c r="F345" s="13"/>
      <c r="G345" s="13"/>
      <c r="H345" s="8">
        <f t="shared" si="5"/>
        <v>0</v>
      </c>
      <c r="I345" s="8"/>
      <c r="J345" s="8"/>
    </row>
    <row r="346" spans="1:10" ht="15" customHeight="1">
      <c r="A346" s="12"/>
      <c r="B346" s="8"/>
      <c r="C346" s="8" t="str">
        <f>IFERROR(INDEX('Team Master'!$C$3:$C$200,MATCH(B346,'Team Master'!$B$3:$B$200,0)),"")</f>
        <v/>
      </c>
      <c r="D346" s="8"/>
      <c r="E346" s="8"/>
      <c r="F346" s="13"/>
      <c r="G346" s="13"/>
      <c r="H346" s="8">
        <f t="shared" si="5"/>
        <v>0</v>
      </c>
      <c r="I346" s="8"/>
      <c r="J346" s="8"/>
    </row>
    <row r="347" spans="1:10" ht="15" customHeight="1">
      <c r="A347" s="12"/>
      <c r="B347" s="8"/>
      <c r="C347" s="8" t="str">
        <f>IFERROR(INDEX('Team Master'!$C$3:$C$200,MATCH(B347,'Team Master'!$B$3:$B$200,0)),"")</f>
        <v/>
      </c>
      <c r="D347" s="8"/>
      <c r="E347" s="8"/>
      <c r="F347" s="13"/>
      <c r="G347" s="13"/>
      <c r="H347" s="8">
        <f t="shared" si="5"/>
        <v>0</v>
      </c>
      <c r="I347" s="8"/>
      <c r="J347" s="8"/>
    </row>
    <row r="348" spans="1:10" ht="15" customHeight="1">
      <c r="A348" s="12"/>
      <c r="B348" s="8"/>
      <c r="C348" s="8" t="str">
        <f>IFERROR(INDEX('Team Master'!$C$3:$C$200,MATCH(B348,'Team Master'!$B$3:$B$200,0)),"")</f>
        <v/>
      </c>
      <c r="D348" s="8"/>
      <c r="E348" s="8"/>
      <c r="F348" s="13"/>
      <c r="G348" s="13"/>
      <c r="H348" s="8">
        <f t="shared" si="5"/>
        <v>0</v>
      </c>
      <c r="I348" s="8"/>
      <c r="J348" s="8"/>
    </row>
    <row r="349" spans="1:10" ht="15" customHeight="1">
      <c r="A349" s="12"/>
      <c r="B349" s="8"/>
      <c r="C349" s="8" t="str">
        <f>IFERROR(INDEX('Team Master'!$C$3:$C$200,MATCH(B349,'Team Master'!$B$3:$B$200,0)),"")</f>
        <v/>
      </c>
      <c r="D349" s="8"/>
      <c r="E349" s="8"/>
      <c r="F349" s="13"/>
      <c r="G349" s="13"/>
      <c r="H349" s="8">
        <f t="shared" si="5"/>
        <v>0</v>
      </c>
      <c r="I349" s="8"/>
      <c r="J349" s="8"/>
    </row>
    <row r="350" spans="1:10" ht="15" customHeight="1">
      <c r="A350" s="12"/>
      <c r="B350" s="8"/>
      <c r="C350" s="8" t="str">
        <f>IFERROR(INDEX('Team Master'!$C$3:$C$200,MATCH(B350,'Team Master'!$B$3:$B$200,0)),"")</f>
        <v/>
      </c>
      <c r="D350" s="8"/>
      <c r="E350" s="8"/>
      <c r="F350" s="13"/>
      <c r="G350" s="13"/>
      <c r="H350" s="8">
        <f t="shared" si="5"/>
        <v>0</v>
      </c>
      <c r="I350" s="8"/>
      <c r="J350" s="8"/>
    </row>
    <row r="351" spans="1:10" ht="15" customHeight="1">
      <c r="A351" s="12"/>
      <c r="B351" s="8"/>
      <c r="C351" s="8" t="str">
        <f>IFERROR(INDEX('Team Master'!$C$3:$C$200,MATCH(B351,'Team Master'!$B$3:$B$200,0)),"")</f>
        <v/>
      </c>
      <c r="D351" s="8"/>
      <c r="E351" s="8"/>
      <c r="F351" s="13"/>
      <c r="G351" s="13"/>
      <c r="H351" s="8">
        <f t="shared" si="5"/>
        <v>0</v>
      </c>
      <c r="I351" s="8"/>
      <c r="J351" s="8"/>
    </row>
    <row r="352" spans="1:10" ht="15" customHeight="1">
      <c r="A352" s="12"/>
      <c r="B352" s="8"/>
      <c r="C352" s="8" t="str">
        <f>IFERROR(INDEX('Team Master'!$C$3:$C$200,MATCH(B352,'Team Master'!$B$3:$B$200,0)),"")</f>
        <v/>
      </c>
      <c r="D352" s="8"/>
      <c r="E352" s="8"/>
      <c r="F352" s="13"/>
      <c r="G352" s="13"/>
      <c r="H352" s="8">
        <f t="shared" si="5"/>
        <v>0</v>
      </c>
      <c r="I352" s="8"/>
      <c r="J352" s="8"/>
    </row>
    <row r="353" spans="1:10" ht="15" customHeight="1">
      <c r="A353" s="12"/>
      <c r="B353" s="8"/>
      <c r="C353" s="8" t="str">
        <f>IFERROR(INDEX('Team Master'!$C$3:$C$200,MATCH(B353,'Team Master'!$B$3:$B$200,0)),"")</f>
        <v/>
      </c>
      <c r="D353" s="8"/>
      <c r="E353" s="8"/>
      <c r="F353" s="13"/>
      <c r="G353" s="13"/>
      <c r="H353" s="8">
        <f t="shared" si="5"/>
        <v>0</v>
      </c>
      <c r="I353" s="8"/>
      <c r="J353" s="8"/>
    </row>
    <row r="354" spans="1:10" ht="15" customHeight="1">
      <c r="A354" s="12"/>
      <c r="B354" s="8"/>
      <c r="C354" s="8" t="str">
        <f>IFERROR(INDEX('Team Master'!$C$3:$C$200,MATCH(B354,'Team Master'!$B$3:$B$200,0)),"")</f>
        <v/>
      </c>
      <c r="D354" s="8"/>
      <c r="E354" s="8"/>
      <c r="F354" s="13"/>
      <c r="G354" s="13"/>
      <c r="H354" s="8">
        <f t="shared" si="5"/>
        <v>0</v>
      </c>
      <c r="I354" s="8"/>
      <c r="J354" s="8"/>
    </row>
    <row r="355" spans="1:10" ht="15" customHeight="1">
      <c r="A355" s="12"/>
      <c r="B355" s="8"/>
      <c r="C355" s="8" t="str">
        <f>IFERROR(INDEX('Team Master'!$C$3:$C$200,MATCH(B355,'Team Master'!$B$3:$B$200,0)),"")</f>
        <v/>
      </c>
      <c r="D355" s="8"/>
      <c r="E355" s="8"/>
      <c r="F355" s="13"/>
      <c r="G355" s="13"/>
      <c r="H355" s="8">
        <f t="shared" si="5"/>
        <v>0</v>
      </c>
      <c r="I355" s="8"/>
      <c r="J355" s="8"/>
    </row>
    <row r="356" spans="1:10" ht="15" customHeight="1">
      <c r="A356" s="12"/>
      <c r="B356" s="8"/>
      <c r="C356" s="8" t="str">
        <f>IFERROR(INDEX('Team Master'!$C$3:$C$200,MATCH(B356,'Team Master'!$B$3:$B$200,0)),"")</f>
        <v/>
      </c>
      <c r="D356" s="8"/>
      <c r="E356" s="8"/>
      <c r="F356" s="13"/>
      <c r="G356" s="13"/>
      <c r="H356" s="8">
        <f t="shared" si="5"/>
        <v>0</v>
      </c>
      <c r="I356" s="8"/>
      <c r="J356" s="8"/>
    </row>
    <row r="357" spans="1:10" ht="15" customHeight="1">
      <c r="A357" s="12"/>
      <c r="B357" s="8"/>
      <c r="C357" s="8" t="str">
        <f>IFERROR(INDEX('Team Master'!$C$3:$C$200,MATCH(B357,'Team Master'!$B$3:$B$200,0)),"")</f>
        <v/>
      </c>
      <c r="D357" s="8"/>
      <c r="E357" s="8"/>
      <c r="F357" s="13"/>
      <c r="G357" s="13"/>
      <c r="H357" s="8">
        <f t="shared" si="5"/>
        <v>0</v>
      </c>
      <c r="I357" s="8"/>
      <c r="J357" s="8"/>
    </row>
    <row r="358" spans="1:10" ht="15" customHeight="1">
      <c r="A358" s="12"/>
      <c r="B358" s="8"/>
      <c r="C358" s="8" t="str">
        <f>IFERROR(INDEX('Team Master'!$C$3:$C$200,MATCH(B358,'Team Master'!$B$3:$B$200,0)),"")</f>
        <v/>
      </c>
      <c r="D358" s="8"/>
      <c r="E358" s="8"/>
      <c r="F358" s="13"/>
      <c r="G358" s="13"/>
      <c r="H358" s="8">
        <f t="shared" si="5"/>
        <v>0</v>
      </c>
      <c r="I358" s="8"/>
      <c r="J358" s="8"/>
    </row>
    <row r="359" spans="1:10" ht="15" customHeight="1">
      <c r="A359" s="12"/>
      <c r="B359" s="8"/>
      <c r="C359" s="8" t="str">
        <f>IFERROR(INDEX('Team Master'!$C$3:$C$200,MATCH(B359,'Team Master'!$B$3:$B$200,0)),"")</f>
        <v/>
      </c>
      <c r="D359" s="8"/>
      <c r="E359" s="8"/>
      <c r="F359" s="13"/>
      <c r="G359" s="13"/>
      <c r="H359" s="8">
        <f t="shared" si="5"/>
        <v>0</v>
      </c>
      <c r="I359" s="8"/>
      <c r="J359" s="8"/>
    </row>
    <row r="360" spans="1:10" ht="15" customHeight="1">
      <c r="A360" s="12"/>
      <c r="B360" s="8"/>
      <c r="C360" s="8" t="str">
        <f>IFERROR(INDEX('Team Master'!$C$3:$C$200,MATCH(B360,'Team Master'!$B$3:$B$200,0)),"")</f>
        <v/>
      </c>
      <c r="D360" s="8"/>
      <c r="E360" s="8"/>
      <c r="F360" s="13"/>
      <c r="G360" s="13"/>
      <c r="H360" s="8">
        <f t="shared" si="5"/>
        <v>0</v>
      </c>
      <c r="I360" s="8"/>
      <c r="J360" s="8"/>
    </row>
    <row r="361" spans="1:10" ht="15" customHeight="1">
      <c r="A361" s="12"/>
      <c r="B361" s="8"/>
      <c r="C361" s="8" t="str">
        <f>IFERROR(INDEX('Team Master'!$C$3:$C$200,MATCH(B361,'Team Master'!$B$3:$B$200,0)),"")</f>
        <v/>
      </c>
      <c r="D361" s="8"/>
      <c r="E361" s="8"/>
      <c r="F361" s="13"/>
      <c r="G361" s="13"/>
      <c r="H361" s="8">
        <f t="shared" si="5"/>
        <v>0</v>
      </c>
      <c r="I361" s="8"/>
      <c r="J361" s="8"/>
    </row>
    <row r="362" spans="1:10" ht="15" customHeight="1">
      <c r="A362" s="12"/>
      <c r="B362" s="8"/>
      <c r="C362" s="8" t="str">
        <f>IFERROR(INDEX('Team Master'!$C$3:$C$200,MATCH(B362,'Team Master'!$B$3:$B$200,0)),"")</f>
        <v/>
      </c>
      <c r="D362" s="8"/>
      <c r="E362" s="8"/>
      <c r="F362" s="13"/>
      <c r="G362" s="13"/>
      <c r="H362" s="8">
        <f t="shared" si="5"/>
        <v>0</v>
      </c>
      <c r="I362" s="8"/>
      <c r="J362" s="8"/>
    </row>
    <row r="363" spans="1:10" ht="15" customHeight="1">
      <c r="A363" s="12"/>
      <c r="B363" s="8"/>
      <c r="C363" s="8" t="str">
        <f>IFERROR(INDEX('Team Master'!$C$3:$C$200,MATCH(B363,'Team Master'!$B$3:$B$200,0)),"")</f>
        <v/>
      </c>
      <c r="D363" s="8"/>
      <c r="E363" s="8"/>
      <c r="F363" s="13"/>
      <c r="G363" s="13"/>
      <c r="H363" s="8">
        <f t="shared" si="5"/>
        <v>0</v>
      </c>
      <c r="I363" s="8"/>
      <c r="J363" s="8"/>
    </row>
    <row r="364" spans="1:10" ht="15" customHeight="1">
      <c r="A364" s="12"/>
      <c r="B364" s="8"/>
      <c r="C364" s="8" t="str">
        <f>IFERROR(INDEX('Team Master'!$C$3:$C$200,MATCH(B364,'Team Master'!$B$3:$B$200,0)),"")</f>
        <v/>
      </c>
      <c r="D364" s="8"/>
      <c r="E364" s="8"/>
      <c r="F364" s="13"/>
      <c r="G364" s="13"/>
      <c r="H364" s="8">
        <f t="shared" si="5"/>
        <v>0</v>
      </c>
      <c r="I364" s="8"/>
      <c r="J364" s="8"/>
    </row>
    <row r="365" spans="1:10" ht="15" customHeight="1">
      <c r="A365" s="12"/>
      <c r="B365" s="8"/>
      <c r="C365" s="8" t="str">
        <f>IFERROR(INDEX('Team Master'!$C$3:$C$200,MATCH(B365,'Team Master'!$B$3:$B$200,0)),"")</f>
        <v/>
      </c>
      <c r="D365" s="8"/>
      <c r="E365" s="8"/>
      <c r="F365" s="13"/>
      <c r="G365" s="13"/>
      <c r="H365" s="8">
        <f t="shared" si="5"/>
        <v>0</v>
      </c>
      <c r="I365" s="8"/>
      <c r="J365" s="8"/>
    </row>
    <row r="366" spans="1:10" ht="15" customHeight="1">
      <c r="A366" s="12"/>
      <c r="B366" s="8"/>
      <c r="C366" s="8" t="str">
        <f>IFERROR(INDEX('Team Master'!$C$3:$C$200,MATCH(B366,'Team Master'!$B$3:$B$200,0)),"")</f>
        <v/>
      </c>
      <c r="D366" s="8"/>
      <c r="E366" s="8"/>
      <c r="F366" s="13"/>
      <c r="G366" s="13"/>
      <c r="H366" s="8">
        <f t="shared" si="5"/>
        <v>0</v>
      </c>
      <c r="I366" s="8"/>
      <c r="J366" s="8"/>
    </row>
    <row r="367" spans="1:10" ht="15" customHeight="1">
      <c r="A367" s="12"/>
      <c r="B367" s="8"/>
      <c r="C367" s="8" t="str">
        <f>IFERROR(INDEX('Team Master'!$C$3:$C$200,MATCH(B367,'Team Master'!$B$3:$B$200,0)),"")</f>
        <v/>
      </c>
      <c r="D367" s="8"/>
      <c r="E367" s="8"/>
      <c r="F367" s="13"/>
      <c r="G367" s="13"/>
      <c r="H367" s="8">
        <f t="shared" si="5"/>
        <v>0</v>
      </c>
      <c r="I367" s="8"/>
      <c r="J367" s="8"/>
    </row>
    <row r="368" spans="1:10" ht="15" customHeight="1">
      <c r="A368" s="12"/>
      <c r="B368" s="8"/>
      <c r="C368" s="8" t="str">
        <f>IFERROR(INDEX('Team Master'!$C$3:$C$200,MATCH(B368,'Team Master'!$B$3:$B$200,0)),"")</f>
        <v/>
      </c>
      <c r="D368" s="8"/>
      <c r="E368" s="8"/>
      <c r="F368" s="13"/>
      <c r="G368" s="13"/>
      <c r="H368" s="8">
        <f t="shared" si="5"/>
        <v>0</v>
      </c>
      <c r="I368" s="8"/>
      <c r="J368" s="8"/>
    </row>
    <row r="369" spans="1:10" ht="15" customHeight="1">
      <c r="A369" s="12"/>
      <c r="B369" s="8"/>
      <c r="C369" s="8" t="str">
        <f>IFERROR(INDEX('Team Master'!$C$3:$C$200,MATCH(B369,'Team Master'!$B$3:$B$200,0)),"")</f>
        <v/>
      </c>
      <c r="D369" s="8"/>
      <c r="E369" s="8"/>
      <c r="F369" s="13"/>
      <c r="G369" s="13"/>
      <c r="H369" s="8">
        <f t="shared" si="5"/>
        <v>0</v>
      </c>
      <c r="I369" s="8"/>
      <c r="J369" s="8"/>
    </row>
    <row r="370" spans="1:10" ht="15" customHeight="1">
      <c r="A370" s="12"/>
      <c r="B370" s="8"/>
      <c r="C370" s="8" t="str">
        <f>IFERROR(INDEX('Team Master'!$C$3:$C$200,MATCH(B370,'Team Master'!$B$3:$B$200,0)),"")</f>
        <v/>
      </c>
      <c r="D370" s="8"/>
      <c r="E370" s="8"/>
      <c r="F370" s="13"/>
      <c r="G370" s="13"/>
      <c r="H370" s="8">
        <f t="shared" si="5"/>
        <v>0</v>
      </c>
      <c r="I370" s="8"/>
      <c r="J370" s="8"/>
    </row>
    <row r="371" spans="1:10" ht="15" customHeight="1">
      <c r="A371" s="12"/>
      <c r="B371" s="8"/>
      <c r="C371" s="8" t="str">
        <f>IFERROR(INDEX('Team Master'!$C$3:$C$200,MATCH(B371,'Team Master'!$B$3:$B$200,0)),"")</f>
        <v/>
      </c>
      <c r="D371" s="8"/>
      <c r="E371" s="8"/>
      <c r="F371" s="13"/>
      <c r="G371" s="13"/>
      <c r="H371" s="8">
        <f t="shared" si="5"/>
        <v>0</v>
      </c>
      <c r="I371" s="8"/>
      <c r="J371" s="8"/>
    </row>
    <row r="372" spans="1:10" ht="15" customHeight="1">
      <c r="A372" s="12"/>
      <c r="B372" s="8"/>
      <c r="C372" s="8" t="str">
        <f>IFERROR(INDEX('Team Master'!$C$3:$C$200,MATCH(B372,'Team Master'!$B$3:$B$200,0)),"")</f>
        <v/>
      </c>
      <c r="D372" s="8"/>
      <c r="E372" s="8"/>
      <c r="F372" s="13"/>
      <c r="G372" s="13"/>
      <c r="H372" s="8">
        <f t="shared" si="5"/>
        <v>0</v>
      </c>
      <c r="I372" s="8"/>
      <c r="J372" s="8"/>
    </row>
    <row r="373" spans="1:10" ht="15" customHeight="1">
      <c r="A373" s="12"/>
      <c r="B373" s="8"/>
      <c r="C373" s="8" t="str">
        <f>IFERROR(INDEX('Team Master'!$C$3:$C$200,MATCH(B373,'Team Master'!$B$3:$B$200,0)),"")</f>
        <v/>
      </c>
      <c r="D373" s="8"/>
      <c r="E373" s="8"/>
      <c r="F373" s="13"/>
      <c r="G373" s="13"/>
      <c r="H373" s="8">
        <f t="shared" si="5"/>
        <v>0</v>
      </c>
      <c r="I373" s="8"/>
      <c r="J373" s="8"/>
    </row>
    <row r="374" spans="1:10" ht="15" customHeight="1">
      <c r="A374" s="12"/>
      <c r="B374" s="8"/>
      <c r="C374" s="8" t="str">
        <f>IFERROR(INDEX('Team Master'!$C$3:$C$200,MATCH(B374,'Team Master'!$B$3:$B$200,0)),"")</f>
        <v/>
      </c>
      <c r="D374" s="8"/>
      <c r="E374" s="8"/>
      <c r="F374" s="13"/>
      <c r="G374" s="13"/>
      <c r="H374" s="8">
        <f t="shared" si="5"/>
        <v>0</v>
      </c>
      <c r="I374" s="8"/>
      <c r="J374" s="8"/>
    </row>
    <row r="375" spans="1:10" ht="15" customHeight="1">
      <c r="A375" s="12"/>
      <c r="B375" s="8"/>
      <c r="C375" s="8" t="str">
        <f>IFERROR(INDEX('Team Master'!$C$3:$C$200,MATCH(B375,'Team Master'!$B$3:$B$200,0)),"")</f>
        <v/>
      </c>
      <c r="D375" s="8"/>
      <c r="E375" s="8"/>
      <c r="F375" s="13"/>
      <c r="G375" s="13"/>
      <c r="H375" s="8">
        <f t="shared" si="5"/>
        <v>0</v>
      </c>
      <c r="I375" s="8"/>
      <c r="J375" s="8"/>
    </row>
    <row r="376" spans="1:10" ht="15" customHeight="1">
      <c r="A376" s="12"/>
      <c r="B376" s="8"/>
      <c r="C376" s="8" t="str">
        <f>IFERROR(INDEX('Team Master'!$C$3:$C$200,MATCH(B376,'Team Master'!$B$3:$B$200,0)),"")</f>
        <v/>
      </c>
      <c r="D376" s="8"/>
      <c r="E376" s="8"/>
      <c r="F376" s="13"/>
      <c r="G376" s="13"/>
      <c r="H376" s="8">
        <f t="shared" si="5"/>
        <v>0</v>
      </c>
      <c r="I376" s="8"/>
      <c r="J376" s="8"/>
    </row>
    <row r="377" spans="1:10" ht="15" customHeight="1">
      <c r="A377" s="12"/>
      <c r="B377" s="8"/>
      <c r="C377" s="8" t="str">
        <f>IFERROR(INDEX('Team Master'!$C$3:$C$200,MATCH(B377,'Team Master'!$B$3:$B$200,0)),"")</f>
        <v/>
      </c>
      <c r="D377" s="8"/>
      <c r="E377" s="8"/>
      <c r="F377" s="13"/>
      <c r="G377" s="13"/>
      <c r="H377" s="8">
        <f t="shared" si="5"/>
        <v>0</v>
      </c>
      <c r="I377" s="8"/>
      <c r="J377" s="8"/>
    </row>
    <row r="378" spans="1:10" ht="15" customHeight="1">
      <c r="A378" s="12"/>
      <c r="B378" s="8"/>
      <c r="C378" s="8" t="str">
        <f>IFERROR(INDEX('Team Master'!$C$3:$C$200,MATCH(B378,'Team Master'!$B$3:$B$200,0)),"")</f>
        <v/>
      </c>
      <c r="D378" s="8"/>
      <c r="E378" s="8"/>
      <c r="F378" s="13"/>
      <c r="G378" s="13"/>
      <c r="H378" s="8">
        <f t="shared" si="5"/>
        <v>0</v>
      </c>
      <c r="I378" s="8"/>
      <c r="J378" s="8"/>
    </row>
    <row r="379" spans="1:10" ht="15" customHeight="1">
      <c r="A379" s="12"/>
      <c r="B379" s="8"/>
      <c r="C379" s="8" t="str">
        <f>IFERROR(INDEX('Team Master'!$C$3:$C$200,MATCH(B379,'Team Master'!$B$3:$B$200,0)),"")</f>
        <v/>
      </c>
      <c r="D379" s="8"/>
      <c r="E379" s="8"/>
      <c r="F379" s="13"/>
      <c r="G379" s="13"/>
      <c r="H379" s="8">
        <f t="shared" si="5"/>
        <v>0</v>
      </c>
      <c r="I379" s="8"/>
      <c r="J379" s="8"/>
    </row>
    <row r="380" spans="1:10" ht="15" customHeight="1">
      <c r="A380" s="12"/>
      <c r="B380" s="8"/>
      <c r="C380" s="8" t="str">
        <f>IFERROR(INDEX('Team Master'!$C$3:$C$200,MATCH(B380,'Team Master'!$B$3:$B$200,0)),"")</f>
        <v/>
      </c>
      <c r="D380" s="8"/>
      <c r="E380" s="8"/>
      <c r="F380" s="13"/>
      <c r="G380" s="13"/>
      <c r="H380" s="8">
        <f t="shared" si="5"/>
        <v>0</v>
      </c>
      <c r="I380" s="8"/>
      <c r="J380" s="8"/>
    </row>
    <row r="381" spans="1:10" ht="15" customHeight="1">
      <c r="A381" s="12"/>
      <c r="B381" s="8"/>
      <c r="C381" s="8" t="str">
        <f>IFERROR(INDEX('Team Master'!$C$3:$C$200,MATCH(B381,'Team Master'!$B$3:$B$200,0)),"")</f>
        <v/>
      </c>
      <c r="D381" s="8"/>
      <c r="E381" s="8"/>
      <c r="F381" s="13"/>
      <c r="G381" s="13"/>
      <c r="H381" s="8">
        <f t="shared" si="5"/>
        <v>0</v>
      </c>
      <c r="I381" s="8"/>
      <c r="J381" s="8"/>
    </row>
    <row r="382" spans="1:10" ht="15" customHeight="1">
      <c r="A382" s="12"/>
      <c r="B382" s="8"/>
      <c r="C382" s="8" t="str">
        <f>IFERROR(INDEX('Team Master'!$C$3:$C$200,MATCH(B382,'Team Master'!$B$3:$B$200,0)),"")</f>
        <v/>
      </c>
      <c r="D382" s="8"/>
      <c r="E382" s="8"/>
      <c r="F382" s="13"/>
      <c r="G382" s="13"/>
      <c r="H382" s="8">
        <f t="shared" si="5"/>
        <v>0</v>
      </c>
      <c r="I382" s="8"/>
      <c r="J382" s="8"/>
    </row>
    <row r="383" spans="1:10" ht="15" customHeight="1">
      <c r="A383" s="12"/>
      <c r="B383" s="8"/>
      <c r="C383" s="8" t="str">
        <f>IFERROR(INDEX('Team Master'!$C$3:$C$200,MATCH(B383,'Team Master'!$B$3:$B$200,0)),"")</f>
        <v/>
      </c>
      <c r="D383" s="8"/>
      <c r="E383" s="8"/>
      <c r="F383" s="13"/>
      <c r="G383" s="13"/>
      <c r="H383" s="8">
        <f t="shared" si="5"/>
        <v>0</v>
      </c>
      <c r="I383" s="8"/>
      <c r="J383" s="8"/>
    </row>
    <row r="384" spans="1:10" ht="15" customHeight="1">
      <c r="A384" s="12"/>
      <c r="B384" s="8"/>
      <c r="C384" s="8" t="str">
        <f>IFERROR(INDEX('Team Master'!$C$3:$C$200,MATCH(B384,'Team Master'!$B$3:$B$200,0)),"")</f>
        <v/>
      </c>
      <c r="D384" s="8"/>
      <c r="E384" s="8"/>
      <c r="F384" s="13"/>
      <c r="G384" s="13"/>
      <c r="H384" s="8">
        <f t="shared" si="5"/>
        <v>0</v>
      </c>
      <c r="I384" s="8"/>
      <c r="J384" s="8"/>
    </row>
    <row r="385" spans="1:10" ht="15" customHeight="1">
      <c r="A385" s="12"/>
      <c r="B385" s="8"/>
      <c r="C385" s="8" t="str">
        <f>IFERROR(INDEX('Team Master'!$C$3:$C$200,MATCH(B385,'Team Master'!$B$3:$B$200,0)),"")</f>
        <v/>
      </c>
      <c r="D385" s="8"/>
      <c r="E385" s="8"/>
      <c r="F385" s="13"/>
      <c r="G385" s="13"/>
      <c r="H385" s="8">
        <f t="shared" si="5"/>
        <v>0</v>
      </c>
      <c r="I385" s="8"/>
      <c r="J385" s="8"/>
    </row>
    <row r="386" spans="1:10" ht="15" customHeight="1">
      <c r="A386" s="12"/>
      <c r="B386" s="8"/>
      <c r="C386" s="8" t="str">
        <f>IFERROR(INDEX('Team Master'!$C$3:$C$200,MATCH(B386,'Team Master'!$B$3:$B$200,0)),"")</f>
        <v/>
      </c>
      <c r="D386" s="8"/>
      <c r="E386" s="8"/>
      <c r="F386" s="13"/>
      <c r="G386" s="13"/>
      <c r="H386" s="8">
        <f t="shared" si="5"/>
        <v>0</v>
      </c>
      <c r="I386" s="8"/>
      <c r="J386" s="8"/>
    </row>
    <row r="387" spans="1:10" ht="15" customHeight="1">
      <c r="A387" s="12"/>
      <c r="B387" s="8"/>
      <c r="C387" s="8" t="str">
        <f>IFERROR(INDEX('Team Master'!$C$3:$C$200,MATCH(B387,'Team Master'!$B$3:$B$200,0)),"")</f>
        <v/>
      </c>
      <c r="D387" s="8"/>
      <c r="E387" s="8"/>
      <c r="F387" s="13"/>
      <c r="G387" s="13"/>
      <c r="H387" s="8">
        <f t="shared" si="5"/>
        <v>0</v>
      </c>
      <c r="I387" s="8"/>
      <c r="J387" s="8"/>
    </row>
    <row r="388" spans="1:10" ht="15" customHeight="1">
      <c r="A388" s="12"/>
      <c r="B388" s="8"/>
      <c r="C388" s="8" t="str">
        <f>IFERROR(INDEX('Team Master'!$C$3:$C$200,MATCH(B388,'Team Master'!$B$3:$B$200,0)),"")</f>
        <v/>
      </c>
      <c r="D388" s="8"/>
      <c r="E388" s="8"/>
      <c r="F388" s="13"/>
      <c r="G388" s="13"/>
      <c r="H388" s="8">
        <f t="shared" ref="H388:H404" si="6">IF(AND(F388&lt;&gt;"",G388&lt;&gt;""),ROUND((G388-F388)*24,2),0)</f>
        <v>0</v>
      </c>
      <c r="I388" s="8"/>
      <c r="J388" s="8"/>
    </row>
    <row r="389" spans="1:10" ht="15" customHeight="1">
      <c r="A389" s="12"/>
      <c r="B389" s="8"/>
      <c r="C389" s="8" t="str">
        <f>IFERROR(INDEX('Team Master'!$C$3:$C$200,MATCH(B389,'Team Master'!$B$3:$B$200,0)),"")</f>
        <v/>
      </c>
      <c r="D389" s="8"/>
      <c r="E389" s="8"/>
      <c r="F389" s="13"/>
      <c r="G389" s="13"/>
      <c r="H389" s="8">
        <f t="shared" si="6"/>
        <v>0</v>
      </c>
      <c r="I389" s="8"/>
      <c r="J389" s="8"/>
    </row>
    <row r="390" spans="1:10" ht="15" customHeight="1">
      <c r="A390" s="12"/>
      <c r="B390" s="8"/>
      <c r="C390" s="8" t="str">
        <f>IFERROR(INDEX('Team Master'!$C$3:$C$200,MATCH(B390,'Team Master'!$B$3:$B$200,0)),"")</f>
        <v/>
      </c>
      <c r="D390" s="8"/>
      <c r="E390" s="8"/>
      <c r="F390" s="13"/>
      <c r="G390" s="13"/>
      <c r="H390" s="8">
        <f t="shared" si="6"/>
        <v>0</v>
      </c>
      <c r="I390" s="8"/>
      <c r="J390" s="8"/>
    </row>
    <row r="391" spans="1:10" ht="15" customHeight="1">
      <c r="A391" s="12"/>
      <c r="B391" s="8"/>
      <c r="C391" s="8" t="str">
        <f>IFERROR(INDEX('Team Master'!$C$3:$C$200,MATCH(B391,'Team Master'!$B$3:$B$200,0)),"")</f>
        <v/>
      </c>
      <c r="D391" s="8"/>
      <c r="E391" s="8"/>
      <c r="F391" s="13"/>
      <c r="G391" s="13"/>
      <c r="H391" s="8">
        <f t="shared" si="6"/>
        <v>0</v>
      </c>
      <c r="I391" s="8"/>
      <c r="J391" s="8"/>
    </row>
    <row r="392" spans="1:10" ht="15" customHeight="1">
      <c r="A392" s="12"/>
      <c r="B392" s="8"/>
      <c r="C392" s="8" t="str">
        <f>IFERROR(INDEX('Team Master'!$C$3:$C$200,MATCH(B392,'Team Master'!$B$3:$B$200,0)),"")</f>
        <v/>
      </c>
      <c r="D392" s="8"/>
      <c r="E392" s="8"/>
      <c r="F392" s="13"/>
      <c r="G392" s="13"/>
      <c r="H392" s="8">
        <f t="shared" si="6"/>
        <v>0</v>
      </c>
      <c r="I392" s="8"/>
      <c r="J392" s="8"/>
    </row>
    <row r="393" spans="1:10" ht="15" customHeight="1">
      <c r="A393" s="12"/>
      <c r="B393" s="8"/>
      <c r="C393" s="8" t="str">
        <f>IFERROR(INDEX('Team Master'!$C$3:$C$200,MATCH(B393,'Team Master'!$B$3:$B$200,0)),"")</f>
        <v/>
      </c>
      <c r="D393" s="8"/>
      <c r="E393" s="8"/>
      <c r="F393" s="13"/>
      <c r="G393" s="13"/>
      <c r="H393" s="8">
        <f t="shared" si="6"/>
        <v>0</v>
      </c>
      <c r="I393" s="8"/>
      <c r="J393" s="8"/>
    </row>
    <row r="394" spans="1:10" ht="15" customHeight="1">
      <c r="A394" s="12"/>
      <c r="B394" s="8"/>
      <c r="C394" s="8" t="str">
        <f>IFERROR(INDEX('Team Master'!$C$3:$C$200,MATCH(B394,'Team Master'!$B$3:$B$200,0)),"")</f>
        <v/>
      </c>
      <c r="D394" s="8"/>
      <c r="E394" s="8"/>
      <c r="F394" s="13"/>
      <c r="G394" s="13"/>
      <c r="H394" s="8">
        <f t="shared" si="6"/>
        <v>0</v>
      </c>
      <c r="I394" s="8"/>
      <c r="J394" s="8"/>
    </row>
    <row r="395" spans="1:10" ht="15" customHeight="1">
      <c r="A395" s="12"/>
      <c r="B395" s="8"/>
      <c r="C395" s="8" t="str">
        <f>IFERROR(INDEX('Team Master'!$C$3:$C$200,MATCH(B395,'Team Master'!$B$3:$B$200,0)),"")</f>
        <v/>
      </c>
      <c r="D395" s="8"/>
      <c r="E395" s="8"/>
      <c r="F395" s="13"/>
      <c r="G395" s="13"/>
      <c r="H395" s="8">
        <f t="shared" si="6"/>
        <v>0</v>
      </c>
      <c r="I395" s="8"/>
      <c r="J395" s="8"/>
    </row>
    <row r="396" spans="1:10" ht="15" customHeight="1">
      <c r="A396" s="12"/>
      <c r="B396" s="8"/>
      <c r="C396" s="8" t="str">
        <f>IFERROR(INDEX('Team Master'!$C$3:$C$200,MATCH(B396,'Team Master'!$B$3:$B$200,0)),"")</f>
        <v/>
      </c>
      <c r="D396" s="8"/>
      <c r="E396" s="8"/>
      <c r="F396" s="13"/>
      <c r="G396" s="13"/>
      <c r="H396" s="8">
        <f t="shared" si="6"/>
        <v>0</v>
      </c>
      <c r="I396" s="8"/>
      <c r="J396" s="8"/>
    </row>
    <row r="397" spans="1:10" ht="15" customHeight="1">
      <c r="A397" s="12"/>
      <c r="B397" s="8"/>
      <c r="C397" s="8" t="str">
        <f>IFERROR(INDEX('Team Master'!$C$3:$C$200,MATCH(B397,'Team Master'!$B$3:$B$200,0)),"")</f>
        <v/>
      </c>
      <c r="D397" s="8"/>
      <c r="E397" s="8"/>
      <c r="F397" s="13"/>
      <c r="G397" s="13"/>
      <c r="H397" s="8">
        <f t="shared" si="6"/>
        <v>0</v>
      </c>
      <c r="I397" s="8"/>
      <c r="J397" s="8"/>
    </row>
    <row r="398" spans="1:10" ht="15" customHeight="1">
      <c r="A398" s="12"/>
      <c r="B398" s="8"/>
      <c r="C398" s="8" t="str">
        <f>IFERROR(INDEX('Team Master'!$C$3:$C$200,MATCH(B398,'Team Master'!$B$3:$B$200,0)),"")</f>
        <v/>
      </c>
      <c r="D398" s="8"/>
      <c r="E398" s="8"/>
      <c r="F398" s="13"/>
      <c r="G398" s="13"/>
      <c r="H398" s="8">
        <f t="shared" si="6"/>
        <v>0</v>
      </c>
      <c r="I398" s="8"/>
      <c r="J398" s="8"/>
    </row>
    <row r="399" spans="1:10" ht="15" customHeight="1">
      <c r="A399" s="12"/>
      <c r="B399" s="8"/>
      <c r="C399" s="8" t="str">
        <f>IFERROR(INDEX('Team Master'!$C$3:$C$200,MATCH(B399,'Team Master'!$B$3:$B$200,0)),"")</f>
        <v/>
      </c>
      <c r="D399" s="8"/>
      <c r="E399" s="8"/>
      <c r="F399" s="13"/>
      <c r="G399" s="13"/>
      <c r="H399" s="8">
        <f t="shared" si="6"/>
        <v>0</v>
      </c>
      <c r="I399" s="8"/>
      <c r="J399" s="8"/>
    </row>
    <row r="400" spans="1:10" ht="15" customHeight="1">
      <c r="A400" s="12"/>
      <c r="B400" s="8"/>
      <c r="C400" s="8" t="str">
        <f>IFERROR(INDEX('Team Master'!$C$3:$C$200,MATCH(B400,'Team Master'!$B$3:$B$200,0)),"")</f>
        <v/>
      </c>
      <c r="D400" s="8"/>
      <c r="E400" s="8"/>
      <c r="F400" s="13"/>
      <c r="G400" s="13"/>
      <c r="H400" s="8">
        <f t="shared" si="6"/>
        <v>0</v>
      </c>
      <c r="I400" s="8"/>
      <c r="J400" s="8"/>
    </row>
    <row r="401" spans="1:10" ht="15" customHeight="1">
      <c r="A401" s="12"/>
      <c r="B401" s="8"/>
      <c r="C401" s="8" t="str">
        <f>IFERROR(INDEX('Team Master'!$C$3:$C$200,MATCH(B401,'Team Master'!$B$3:$B$200,0)),"")</f>
        <v/>
      </c>
      <c r="D401" s="8"/>
      <c r="E401" s="8"/>
      <c r="F401" s="13"/>
      <c r="G401" s="13"/>
      <c r="H401" s="8">
        <f t="shared" si="6"/>
        <v>0</v>
      </c>
      <c r="I401" s="8"/>
      <c r="J401" s="8"/>
    </row>
    <row r="402" spans="1:10" ht="15" customHeight="1">
      <c r="A402" s="12"/>
      <c r="B402" s="8"/>
      <c r="C402" s="8" t="str">
        <f>IFERROR(INDEX('Team Master'!$C$3:$C$200,MATCH(B402,'Team Master'!$B$3:$B$200,0)),"")</f>
        <v/>
      </c>
      <c r="D402" s="8"/>
      <c r="E402" s="8"/>
      <c r="F402" s="13"/>
      <c r="G402" s="13"/>
      <c r="H402" s="8">
        <f t="shared" si="6"/>
        <v>0</v>
      </c>
      <c r="I402" s="8"/>
      <c r="J402" s="8"/>
    </row>
    <row r="403" spans="1:10" ht="15" customHeight="1">
      <c r="A403" s="12"/>
      <c r="B403" s="8"/>
      <c r="C403" s="8" t="str">
        <f>IFERROR(INDEX('Team Master'!$C$3:$C$200,MATCH(B403,'Team Master'!$B$3:$B$200,0)),"")</f>
        <v/>
      </c>
      <c r="D403" s="8"/>
      <c r="E403" s="8"/>
      <c r="F403" s="13"/>
      <c r="G403" s="13"/>
      <c r="H403" s="8">
        <f t="shared" si="6"/>
        <v>0</v>
      </c>
      <c r="I403" s="8"/>
      <c r="J403" s="8"/>
    </row>
    <row r="404" spans="1:10" ht="15" customHeight="1">
      <c r="A404" s="12"/>
      <c r="B404" s="8"/>
      <c r="C404" s="8" t="str">
        <f>IFERROR(INDEX('Team Master'!$C$3:$C$200,MATCH(B404,'Team Master'!$B$3:$B$200,0)),"")</f>
        <v/>
      </c>
      <c r="D404" s="8"/>
      <c r="E404" s="8"/>
      <c r="F404" s="13"/>
      <c r="G404" s="13"/>
      <c r="H404" s="8">
        <f t="shared" si="6"/>
        <v>0</v>
      </c>
      <c r="I404" s="8"/>
      <c r="J404" s="8"/>
    </row>
  </sheetData>
  <mergeCells count="1">
    <mergeCell ref="A1:J1"/>
  </mergeCells>
  <dataValidations count="1">
    <dataValidation type="list" allowBlank="1" sqref="I4:I404" xr:uid="{00000000-0002-0000-0300-000002000000}">
      <formula1>"Completed,In Progress,Pending,Blocked"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Pick a name from Team Master" xr:uid="{00000000-0002-0000-0300-000000000000}">
          <x14:formula1>
            <xm:f>'Team Master'!$B$3:$B$200</xm:f>
          </x14:formula1>
          <x14:formula2>
            <xm:f>0</xm:f>
          </x14:formula2>
          <xm:sqref>B4:B404</xm:sqref>
        </x14:dataValidation>
        <x14:dataValidation type="list" allowBlank="1" xr:uid="{00000000-0002-0000-0300-000001000000}">
          <x14:formula1>
            <xm:f>'Task Categories'!$A$3:$A$200</xm:f>
          </x14:formula1>
          <x14:formula2>
            <xm:f>0</xm:f>
          </x14:formula2>
          <xm:sqref>D4:D404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80"/>
  <sheetViews>
    <sheetView showGridLines="0" zoomScaleNormal="100" workbookViewId="0">
      <selection activeCell="B18" sqref="B18"/>
    </sheetView>
  </sheetViews>
  <sheetFormatPr defaultColWidth="8.7109375" defaultRowHeight="14.45"/>
  <cols>
    <col min="1" max="1" width="2" customWidth="1"/>
    <col min="2" max="2" width="22" customWidth="1"/>
    <col min="3" max="3" width="18" customWidth="1"/>
    <col min="4" max="6" width="14" customWidth="1"/>
    <col min="7" max="7" width="20" customWidth="1"/>
    <col min="8" max="8" width="14" customWidth="1"/>
    <col min="9" max="9" width="32" customWidth="1"/>
    <col min="10" max="10" width="13" customWidth="1"/>
    <col min="11" max="11" width="12" customWidth="1"/>
  </cols>
  <sheetData>
    <row r="2" spans="2:11" ht="19.5" customHeight="1">
      <c r="B2" s="32" t="s">
        <v>98</v>
      </c>
      <c r="C2" s="32"/>
      <c r="D2" s="32"/>
      <c r="E2" s="32"/>
      <c r="F2" s="32"/>
      <c r="G2" s="32"/>
      <c r="H2" s="32"/>
      <c r="I2" s="32"/>
      <c r="J2" s="32"/>
      <c r="K2" s="32"/>
    </row>
    <row r="3" spans="2:11" ht="15" customHeight="1">
      <c r="B3" s="31" t="s">
        <v>99</v>
      </c>
      <c r="C3" s="31"/>
      <c r="D3" s="31"/>
      <c r="E3" s="31"/>
      <c r="F3" s="31"/>
      <c r="G3" s="31"/>
      <c r="H3" s="31"/>
      <c r="I3" s="31"/>
      <c r="J3" s="31"/>
      <c r="K3" s="31"/>
    </row>
    <row r="5" spans="2:11" ht="15" customHeight="1">
      <c r="B5" s="14" t="s">
        <v>100</v>
      </c>
      <c r="D5" s="16">
        <v>9</v>
      </c>
      <c r="E5" s="14" t="s">
        <v>101</v>
      </c>
      <c r="F5" s="16">
        <v>2026</v>
      </c>
      <c r="G5" s="14" t="s">
        <v>102</v>
      </c>
      <c r="I5" s="16">
        <v>22</v>
      </c>
    </row>
    <row r="6" spans="2:11" ht="15" customHeight="1">
      <c r="G6" s="14" t="s">
        <v>103</v>
      </c>
      <c r="I6" s="16">
        <v>8</v>
      </c>
    </row>
    <row r="8" spans="2:11" ht="15" customHeight="1">
      <c r="B8" s="17" t="s">
        <v>104</v>
      </c>
      <c r="C8" s="18"/>
      <c r="D8" s="17" t="s">
        <v>105</v>
      </c>
      <c r="E8" s="18"/>
      <c r="F8" s="17" t="s">
        <v>106</v>
      </c>
      <c r="G8" s="18"/>
      <c r="H8" s="17" t="s">
        <v>107</v>
      </c>
      <c r="I8" s="18"/>
    </row>
    <row r="9" spans="2:11" ht="17.25" customHeight="1">
      <c r="B9" s="19">
        <f>SUMPRODUCT(('Daily Time Log'!$A$4:$A$404&gt;=DATE($F$5,$D$5,1))*('Daily Time Log'!$A$4:$A$404&lt;DATE($F$5,$D$5+1,1))*('Daily Time Log'!$H$4:$H$404))</f>
        <v>9</v>
      </c>
      <c r="C9" s="18"/>
      <c r="D9" s="20">
        <f>SUMPRODUCT(('Daily Time Log'!$A$4:$A$404&gt;=DATE($F$5,$D$5,1))*('Daily Time Log'!$A$4:$A$404&lt;DATE($F$5,$D$5+1,1))*('Daily Time Log'!$A$4:$A$404&lt;&gt;""))</f>
        <v>6</v>
      </c>
      <c r="E9" s="18"/>
      <c r="F9" s="21">
        <f>IFERROR(B9/(5*I5),0)</f>
        <v>8.1818181818181818E-2</v>
      </c>
      <c r="G9" s="18"/>
      <c r="H9" s="22">
        <f>IFERROR(B9/(5*I5*I6),0)</f>
        <v>1.0227272727272727E-2</v>
      </c>
      <c r="I9" s="18"/>
    </row>
    <row r="11" spans="2:11" ht="15" customHeight="1">
      <c r="B11" s="23" t="s">
        <v>108</v>
      </c>
      <c r="I11" s="23" t="s">
        <v>109</v>
      </c>
    </row>
    <row r="12" spans="2:11" ht="27.75" customHeight="1">
      <c r="B12" s="5" t="s">
        <v>20</v>
      </c>
      <c r="C12" s="5" t="s">
        <v>21</v>
      </c>
      <c r="D12" s="5" t="s">
        <v>110</v>
      </c>
      <c r="E12" s="5" t="s">
        <v>111</v>
      </c>
      <c r="F12" s="5" t="s">
        <v>112</v>
      </c>
      <c r="G12" s="5" t="s">
        <v>113</v>
      </c>
      <c r="I12" s="5" t="s">
        <v>41</v>
      </c>
      <c r="J12" s="5" t="s">
        <v>110</v>
      </c>
      <c r="K12" s="5" t="s">
        <v>114</v>
      </c>
    </row>
    <row r="13" spans="2:11" ht="15" customHeight="1">
      <c r="B13" s="24" t="str">
        <f>'Team Master'!B3</f>
        <v>Aftab Shaikh</v>
      </c>
      <c r="C13" s="24" t="str">
        <f>'Team Master'!C3</f>
        <v>Linux Administrator</v>
      </c>
      <c r="D13" s="25">
        <f>SUMPRODUCT(('Daily Time Log'!$A$4:$A$404&gt;=DATE($F$5,$D$5,1))*('Daily Time Log'!$A$4:$A$404&lt;DATE($F$5,$D$5+1,1))*('Daily Time Log'!$B$4:$B$404=$B13)*'Daily Time Log'!$H$4:$H$404)</f>
        <v>0</v>
      </c>
      <c r="E13" s="26">
        <f>SUMPRODUCT(('Daily Time Log'!$A$4:$A$404&gt;=DATE($F$5,$D$5,1))*('Daily Time Log'!$A$4:$A$404&lt;DATE($F$5,$D$5+1,1))*('Daily Time Log'!$B$4:$B$404=$B13)*1)</f>
        <v>0</v>
      </c>
      <c r="F13" s="27">
        <f>IFERROR(D13/$I$5,0)</f>
        <v>0</v>
      </c>
      <c r="G13" s="28">
        <f>IFERROR(D13/($I$5*$I$6),0)</f>
        <v>0</v>
      </c>
      <c r="I13" s="24" t="str">
        <f>'Task Categories'!A3</f>
        <v>Server Maintenance</v>
      </c>
      <c r="J13" s="25">
        <f>SUMPRODUCT(('Daily Time Log'!$A$4:$A$404&gt;=DATE($F$5,$D$5,1))*('Daily Time Log'!$A$4:$A$404&lt;DATE($F$5,$D$5+1,1))*('Daily Time Log'!$D$4:$D$404=$I13)*'Daily Time Log'!$H$4:$H$404)</f>
        <v>1.5</v>
      </c>
      <c r="K13" s="28">
        <f t="shared" ref="K13:K27" si="0">IFERROR(J13/$B$9,0)</f>
        <v>0.16666666666666666</v>
      </c>
    </row>
    <row r="14" spans="2:11" ht="15" customHeight="1">
      <c r="B14" s="24" t="str">
        <f>'Team Master'!B4</f>
        <v>Shakti Thakur</v>
      </c>
      <c r="C14" s="24" t="str">
        <f>'Team Master'!C4</f>
        <v>Windows and Network Administrator</v>
      </c>
      <c r="D14" s="25">
        <f>SUMPRODUCT(('Daily Time Log'!$A$4:$A$404&gt;=DATE($F$5,$D$5,1))*('Daily Time Log'!$A$4:$A$404&lt;DATE($F$5,$D$5+1,1))*('Daily Time Log'!$B$4:$B$404=$B14)*'Daily Time Log'!$H$4:$H$404)</f>
        <v>0</v>
      </c>
      <c r="E14" s="26">
        <f>SUMPRODUCT(('Daily Time Log'!$A$4:$A$404&gt;=DATE($F$5,$D$5,1))*('Daily Time Log'!$A$4:$A$404&lt;DATE($F$5,$D$5+1,1))*('Daily Time Log'!$B$4:$B$404=$B14)*1)</f>
        <v>0</v>
      </c>
      <c r="F14" s="27">
        <f>IFERROR(D14/$I$5,0)</f>
        <v>0</v>
      </c>
      <c r="G14" s="28">
        <f>IFERROR(D14/($I$5*$I$6),0)</f>
        <v>0</v>
      </c>
      <c r="I14" s="24" t="str">
        <f>'Task Categories'!A4</f>
        <v>Network Monitoring / Troubleshooting</v>
      </c>
      <c r="J14" s="25">
        <f>SUMPRODUCT(('Daily Time Log'!$A$4:$A$404&gt;=DATE($F$5,$D$5,1))*('Daily Time Log'!$A$4:$A$404&lt;DATE($F$5,$D$5+1,1))*('Daily Time Log'!$D$4:$D$404=$I14)*'Daily Time Log'!$H$4:$H$404)</f>
        <v>1.25</v>
      </c>
      <c r="K14" s="28">
        <f t="shared" si="0"/>
        <v>0.1388888888888889</v>
      </c>
    </row>
    <row r="15" spans="2:11" ht="15" customHeight="1">
      <c r="B15" s="24" t="str">
        <f>'Team Master'!B5</f>
        <v>Soheb Shaikh</v>
      </c>
      <c r="C15" s="24" t="str">
        <f>'Team Master'!C5</f>
        <v>System Administrator</v>
      </c>
      <c r="D15" s="25">
        <f>SUMPRODUCT(('Daily Time Log'!$A$4:$A$404&gt;=DATE($F$5,$D$5,1))*('Daily Time Log'!$A$4:$A$404&lt;DATE($F$5,$D$5+1,1))*('Daily Time Log'!$B$4:$B$404=$B15)*'Daily Time Log'!$H$4:$H$404)</f>
        <v>0</v>
      </c>
      <c r="E15" s="26">
        <f>SUMPRODUCT(('Daily Time Log'!$A$4:$A$404&gt;=DATE($F$5,$D$5,1))*('Daily Time Log'!$A$4:$A$404&lt;DATE($F$5,$D$5+1,1))*('Daily Time Log'!$B$4:$B$404=$B15)*1)</f>
        <v>0</v>
      </c>
      <c r="F15" s="27">
        <f>IFERROR(D15/$I$5,0)</f>
        <v>0</v>
      </c>
      <c r="G15" s="28">
        <f>IFERROR(D15/($I$5*$I$6),0)</f>
        <v>0</v>
      </c>
      <c r="I15" s="24" t="str">
        <f>'Task Categories'!A5</f>
        <v>Patch Management / Updates</v>
      </c>
      <c r="J15" s="25">
        <f>SUMPRODUCT(('Daily Time Log'!$A$4:$A$404&gt;=DATE($F$5,$D$5,1))*('Daily Time Log'!$A$4:$A$404&lt;DATE($F$5,$D$5+1,1))*('Daily Time Log'!$D$4:$D$404=$I15)*'Daily Time Log'!$H$4:$H$404)</f>
        <v>0</v>
      </c>
      <c r="K15" s="28">
        <f t="shared" si="0"/>
        <v>0</v>
      </c>
    </row>
    <row r="16" spans="2:11" ht="15" customHeight="1">
      <c r="B16" s="24" t="str">
        <f>'Team Master'!B6</f>
        <v>Shubham Hawdiya</v>
      </c>
      <c r="C16" s="24" t="str">
        <f>'Team Master'!C6</f>
        <v>Desktop Support Engineer</v>
      </c>
      <c r="D16" s="25">
        <f>SUMPRODUCT(('Daily Time Log'!$A$4:$A$404&gt;=DATE($F$5,$D$5,1))*('Daily Time Log'!$A$4:$A$404&lt;DATE($F$5,$D$5+1,1))*('Daily Time Log'!$B$4:$B$404=$B16)*'Daily Time Log'!$H$4:$H$404)</f>
        <v>0</v>
      </c>
      <c r="E16" s="26">
        <f>SUMPRODUCT(('Daily Time Log'!$A$4:$A$404&gt;=DATE($F$5,$D$5,1))*('Daily Time Log'!$A$4:$A$404&lt;DATE($F$5,$D$5+1,1))*('Daily Time Log'!$B$4:$B$404=$B16)*1)</f>
        <v>0</v>
      </c>
      <c r="F16" s="27">
        <f>IFERROR(D16/$I$5,0)</f>
        <v>0</v>
      </c>
      <c r="G16" s="28">
        <f>IFERROR(D16/($I$5*$I$6),0)</f>
        <v>0</v>
      </c>
      <c r="I16" s="24" t="str">
        <f>'Task Categories'!A6</f>
        <v>Backup &amp; Recovery</v>
      </c>
      <c r="J16" s="25">
        <f>SUMPRODUCT(('Daily Time Log'!$A$4:$A$404&gt;=DATE($F$5,$D$5,1))*('Daily Time Log'!$A$4:$A$404&lt;DATE($F$5,$D$5+1,1))*('Daily Time Log'!$D$4:$D$404=$I16)*'Daily Time Log'!$H$4:$H$404)</f>
        <v>0.75</v>
      </c>
      <c r="K16" s="28">
        <f t="shared" si="0"/>
        <v>8.3333333333333329E-2</v>
      </c>
    </row>
    <row r="17" spans="2:11" ht="15" customHeight="1">
      <c r="B17" s="24" t="str">
        <f>'Team Master'!B7</f>
        <v>Paras Lodaya</v>
      </c>
      <c r="C17" s="24" t="str">
        <f>'Team Master'!C7</f>
        <v>System Administrator (Purchase, Repair, etc.)</v>
      </c>
      <c r="D17" s="25">
        <f>SUMPRODUCT(('Daily Time Log'!$A$4:$A$404&gt;=DATE($F$5,$D$5,1))*('Daily Time Log'!$A$4:$A$404&lt;DATE($F$5,$D$5+1,1))*('Daily Time Log'!$B$4:$B$404=$B17)*'Daily Time Log'!$H$4:$H$404)</f>
        <v>0</v>
      </c>
      <c r="E17" s="26">
        <f>SUMPRODUCT(('Daily Time Log'!$A$4:$A$404&gt;=DATE($F$5,$D$5,1))*('Daily Time Log'!$A$4:$A$404&lt;DATE($F$5,$D$5+1,1))*('Daily Time Log'!$B$4:$B$404=$B17)*1)</f>
        <v>0</v>
      </c>
      <c r="F17" s="27">
        <f>IFERROR(D17/$I$5,0)</f>
        <v>0</v>
      </c>
      <c r="G17" s="28">
        <f>IFERROR(D17/($I$5*$I$6),0)</f>
        <v>0</v>
      </c>
      <c r="I17" s="24" t="str">
        <f>'Task Categories'!A7</f>
        <v>User / Desktop Support (Tickets)</v>
      </c>
      <c r="J17" s="25">
        <f>SUMPRODUCT(('Daily Time Log'!$A$4:$A$404&gt;=DATE($F$5,$D$5,1))*('Daily Time Log'!$A$4:$A$404&lt;DATE($F$5,$D$5+1,1))*('Daily Time Log'!$D$4:$D$404=$I17)*'Daily Time Log'!$H$4:$H$404)</f>
        <v>2.5</v>
      </c>
      <c r="K17" s="28">
        <f t="shared" si="0"/>
        <v>0.27777777777777779</v>
      </c>
    </row>
    <row r="18" spans="2:11" ht="15" customHeight="1">
      <c r="I18" s="24" t="str">
        <f>'Task Categories'!A8</f>
        <v>Hardware Repair &amp; Installation</v>
      </c>
      <c r="J18" s="25">
        <f>SUMPRODUCT(('Daily Time Log'!$A$4:$A$404&gt;=DATE($F$5,$D$5,1))*('Daily Time Log'!$A$4:$A$404&lt;DATE($F$5,$D$5+1,1))*('Daily Time Log'!$D$4:$D$404=$I18)*'Daily Time Log'!$H$4:$H$404)</f>
        <v>0</v>
      </c>
      <c r="K18" s="28">
        <f t="shared" si="0"/>
        <v>0</v>
      </c>
    </row>
    <row r="19" spans="2:11" ht="15" customHeight="1">
      <c r="I19" s="24" t="str">
        <f>'Task Categories'!A9</f>
        <v>Procurement / Purchase Coordination</v>
      </c>
      <c r="J19" s="25">
        <f>SUMPRODUCT(('Daily Time Log'!$A$4:$A$404&gt;=DATE($F$5,$D$5,1))*('Daily Time Log'!$A$4:$A$404&lt;DATE($F$5,$D$5+1,1))*('Daily Time Log'!$D$4:$D$404=$I19)*'Daily Time Log'!$H$4:$H$404)</f>
        <v>2.5</v>
      </c>
      <c r="K19" s="28">
        <f t="shared" si="0"/>
        <v>0.27777777777777779</v>
      </c>
    </row>
    <row r="20" spans="2:11" ht="15" customHeight="1">
      <c r="I20" s="24" t="str">
        <f>'Task Categories'!A10</f>
        <v>Vendor Coordination</v>
      </c>
      <c r="J20" s="25">
        <f>SUMPRODUCT(('Daily Time Log'!$A$4:$A$404&gt;=DATE($F$5,$D$5,1))*('Daily Time Log'!$A$4:$A$404&lt;DATE($F$5,$D$5+1,1))*('Daily Time Log'!$D$4:$D$404=$I20)*'Daily Time Log'!$H$4:$H$404)</f>
        <v>0</v>
      </c>
      <c r="K20" s="28">
        <f t="shared" si="0"/>
        <v>0</v>
      </c>
    </row>
    <row r="21" spans="2:11" ht="15" customHeight="1">
      <c r="I21" s="24" t="str">
        <f>'Task Categories'!A11</f>
        <v>Security / Antivirus Management</v>
      </c>
      <c r="J21" s="25">
        <f>SUMPRODUCT(('Daily Time Log'!$A$4:$A$404&gt;=DATE($F$5,$D$5,1))*('Daily Time Log'!$A$4:$A$404&lt;DATE($F$5,$D$5+1,1))*('Daily Time Log'!$D$4:$D$404=$I21)*'Daily Time Log'!$H$4:$H$404)</f>
        <v>0</v>
      </c>
      <c r="K21" s="28">
        <f t="shared" si="0"/>
        <v>0</v>
      </c>
    </row>
    <row r="22" spans="2:11" ht="15" customHeight="1">
      <c r="I22" s="24" t="str">
        <f>'Task Categories'!A12</f>
        <v>Active Directory / User Management</v>
      </c>
      <c r="J22" s="25">
        <f>SUMPRODUCT(('Daily Time Log'!$A$4:$A$404&gt;=DATE($F$5,$D$5,1))*('Daily Time Log'!$A$4:$A$404&lt;DATE($F$5,$D$5+1,1))*('Daily Time Log'!$D$4:$D$404=$I22)*'Daily Time Log'!$H$4:$H$404)</f>
        <v>0</v>
      </c>
      <c r="K22" s="28">
        <f t="shared" si="0"/>
        <v>0</v>
      </c>
    </row>
    <row r="23" spans="2:11" ht="15" customHeight="1">
      <c r="I23" s="24" t="str">
        <f>'Task Categories'!A13</f>
        <v>Documentation / SOP Updates</v>
      </c>
      <c r="J23" s="25">
        <f>SUMPRODUCT(('Daily Time Log'!$A$4:$A$404&gt;=DATE($F$5,$D$5,1))*('Daily Time Log'!$A$4:$A$404&lt;DATE($F$5,$D$5+1,1))*('Daily Time Log'!$D$4:$D$404=$I23)*'Daily Time Log'!$H$4:$H$404)</f>
        <v>0</v>
      </c>
      <c r="K23" s="28">
        <f t="shared" si="0"/>
        <v>0</v>
      </c>
    </row>
    <row r="24" spans="2:11" ht="15" customHeight="1">
      <c r="I24" s="24" t="str">
        <f>'Task Categories'!A14</f>
        <v>Meetings / Reporting</v>
      </c>
      <c r="J24" s="25">
        <f>SUMPRODUCT(('Daily Time Log'!$A$4:$A$404&gt;=DATE($F$5,$D$5,1))*('Daily Time Log'!$A$4:$A$404&lt;DATE($F$5,$D$5+1,1))*('Daily Time Log'!$D$4:$D$404=$I24)*'Daily Time Log'!$H$4:$H$404)</f>
        <v>0.5</v>
      </c>
      <c r="K24" s="28">
        <f t="shared" si="0"/>
        <v>5.5555555555555552E-2</v>
      </c>
    </row>
    <row r="25" spans="2:11" ht="15" customHeight="1">
      <c r="I25" s="24" t="str">
        <f>'Task Categories'!A15</f>
        <v>Email / Admin Tasks</v>
      </c>
      <c r="J25" s="25">
        <f>SUMPRODUCT(('Daily Time Log'!$A$4:$A$404&gt;=DATE($F$5,$D$5,1))*('Daily Time Log'!$A$4:$A$404&lt;DATE($F$5,$D$5+1,1))*('Daily Time Log'!$D$4:$D$404=$I25)*'Daily Time Log'!$H$4:$H$404)</f>
        <v>0</v>
      </c>
      <c r="K25" s="28">
        <f t="shared" si="0"/>
        <v>0</v>
      </c>
    </row>
    <row r="26" spans="2:11" ht="15" customHeight="1">
      <c r="I26" s="24" t="str">
        <f>'Task Categories'!A16</f>
        <v>Training / Self-learning</v>
      </c>
      <c r="J26" s="25">
        <f>SUMPRODUCT(('Daily Time Log'!$A$4:$A$404&gt;=DATE($F$5,$D$5,1))*('Daily Time Log'!$A$4:$A$404&lt;DATE($F$5,$D$5+1,1))*('Daily Time Log'!$D$4:$D$404=$I26)*'Daily Time Log'!$H$4:$H$404)</f>
        <v>0</v>
      </c>
      <c r="K26" s="28">
        <f t="shared" si="0"/>
        <v>0</v>
      </c>
    </row>
    <row r="27" spans="2:11" ht="15" customHeight="1">
      <c r="I27" s="24" t="str">
        <f>'Task Categories'!A17</f>
        <v>Other / Miscellaneous</v>
      </c>
      <c r="J27" s="25">
        <f>SUMPRODUCT(('Daily Time Log'!$A$4:$A$404&gt;=DATE($F$5,$D$5,1))*('Daily Time Log'!$A$4:$A$404&lt;DATE($F$5,$D$5+1,1))*('Daily Time Log'!$D$4:$D$404=$I27)*'Daily Time Log'!$H$4:$H$404)</f>
        <v>0</v>
      </c>
      <c r="K27" s="28">
        <f t="shared" si="0"/>
        <v>0</v>
      </c>
    </row>
    <row r="48" spans="2:2" ht="15" customHeight="1">
      <c r="B48" s="23" t="s">
        <v>115</v>
      </c>
    </row>
    <row r="49" spans="2:4" ht="19.5" customHeight="1">
      <c r="B49" s="5" t="s">
        <v>116</v>
      </c>
      <c r="C49" s="5" t="s">
        <v>66</v>
      </c>
      <c r="D49" s="5" t="s">
        <v>110</v>
      </c>
    </row>
    <row r="50" spans="2:4" ht="15" customHeight="1">
      <c r="B50" s="26">
        <v>1</v>
      </c>
      <c r="C50" s="29">
        <f t="shared" ref="C50:C80" si="1">IFERROR(DATE($F$5,$D$5,B50),"")</f>
        <v>46266</v>
      </c>
      <c r="D50" s="26">
        <f>IF(C50="","",SUMIFS('Daily Time Log'!$H$4:$H$404,'Daily Time Log'!$A$4:$A$404,C50))</f>
        <v>7.75</v>
      </c>
    </row>
    <row r="51" spans="2:4" ht="15" customHeight="1">
      <c r="B51" s="26">
        <v>2</v>
      </c>
      <c r="C51" s="29">
        <f t="shared" si="1"/>
        <v>46267</v>
      </c>
      <c r="D51" s="26">
        <f>IF(C51="","",SUMIFS('Daily Time Log'!$H$4:$H$404,'Daily Time Log'!$A$4:$A$404,C51))</f>
        <v>1.25</v>
      </c>
    </row>
    <row r="52" spans="2:4" ht="15" customHeight="1">
      <c r="B52" s="26">
        <v>3</v>
      </c>
      <c r="C52" s="29">
        <f t="shared" si="1"/>
        <v>46268</v>
      </c>
      <c r="D52" s="26">
        <f>IF(C52="","",SUMIFS('Daily Time Log'!$H$4:$H$404,'Daily Time Log'!$A$4:$A$404,C52))</f>
        <v>0</v>
      </c>
    </row>
    <row r="53" spans="2:4" ht="15" customHeight="1">
      <c r="B53" s="26">
        <v>4</v>
      </c>
      <c r="C53" s="29">
        <f t="shared" si="1"/>
        <v>46269</v>
      </c>
      <c r="D53" s="26">
        <f>IF(C53="","",SUMIFS('Daily Time Log'!$H$4:$H$404,'Daily Time Log'!$A$4:$A$404,C53))</f>
        <v>0</v>
      </c>
    </row>
    <row r="54" spans="2:4" ht="15" customHeight="1">
      <c r="B54" s="26">
        <v>5</v>
      </c>
      <c r="C54" s="29">
        <f t="shared" si="1"/>
        <v>46270</v>
      </c>
      <c r="D54" s="26">
        <f>IF(C54="","",SUMIFS('Daily Time Log'!$H$4:$H$404,'Daily Time Log'!$A$4:$A$404,C54))</f>
        <v>0</v>
      </c>
    </row>
    <row r="55" spans="2:4" ht="15" customHeight="1">
      <c r="B55" s="26">
        <v>6</v>
      </c>
      <c r="C55" s="29">
        <f t="shared" si="1"/>
        <v>46271</v>
      </c>
      <c r="D55" s="26">
        <f>IF(C55="","",SUMIFS('Daily Time Log'!$H$4:$H$404,'Daily Time Log'!$A$4:$A$404,C55))</f>
        <v>0</v>
      </c>
    </row>
    <row r="56" spans="2:4" ht="15" customHeight="1">
      <c r="B56" s="26">
        <v>7</v>
      </c>
      <c r="C56" s="29">
        <f t="shared" si="1"/>
        <v>46272</v>
      </c>
      <c r="D56" s="26">
        <f>IF(C56="","",SUMIFS('Daily Time Log'!$H$4:$H$404,'Daily Time Log'!$A$4:$A$404,C56))</f>
        <v>0</v>
      </c>
    </row>
    <row r="57" spans="2:4" ht="15" customHeight="1">
      <c r="B57" s="26">
        <v>8</v>
      </c>
      <c r="C57" s="29">
        <f t="shared" si="1"/>
        <v>46273</v>
      </c>
      <c r="D57" s="26">
        <f>IF(C57="","",SUMIFS('Daily Time Log'!$H$4:$H$404,'Daily Time Log'!$A$4:$A$404,C57))</f>
        <v>0</v>
      </c>
    </row>
    <row r="58" spans="2:4" ht="15" customHeight="1">
      <c r="B58" s="26">
        <v>9</v>
      </c>
      <c r="C58" s="29">
        <f t="shared" si="1"/>
        <v>46274</v>
      </c>
      <c r="D58" s="26">
        <f>IF(C58="","",SUMIFS('Daily Time Log'!$H$4:$H$404,'Daily Time Log'!$A$4:$A$404,C58))</f>
        <v>0</v>
      </c>
    </row>
    <row r="59" spans="2:4" ht="15" customHeight="1">
      <c r="B59" s="26">
        <v>10</v>
      </c>
      <c r="C59" s="29">
        <f t="shared" si="1"/>
        <v>46275</v>
      </c>
      <c r="D59" s="26">
        <f>IF(C59="","",SUMIFS('Daily Time Log'!$H$4:$H$404,'Daily Time Log'!$A$4:$A$404,C59))</f>
        <v>0</v>
      </c>
    </row>
    <row r="60" spans="2:4" ht="15" customHeight="1">
      <c r="B60" s="26">
        <v>11</v>
      </c>
      <c r="C60" s="29">
        <f t="shared" si="1"/>
        <v>46276</v>
      </c>
      <c r="D60" s="26">
        <f>IF(C60="","",SUMIFS('Daily Time Log'!$H$4:$H$404,'Daily Time Log'!$A$4:$A$404,C60))</f>
        <v>0</v>
      </c>
    </row>
    <row r="61" spans="2:4" ht="15" customHeight="1">
      <c r="B61" s="26">
        <v>12</v>
      </c>
      <c r="C61" s="29">
        <f t="shared" si="1"/>
        <v>46277</v>
      </c>
      <c r="D61" s="26">
        <f>IF(C61="","",SUMIFS('Daily Time Log'!$H$4:$H$404,'Daily Time Log'!$A$4:$A$404,C61))</f>
        <v>0</v>
      </c>
    </row>
    <row r="62" spans="2:4" ht="15" customHeight="1">
      <c r="B62" s="26">
        <v>13</v>
      </c>
      <c r="C62" s="29">
        <f t="shared" si="1"/>
        <v>46278</v>
      </c>
      <c r="D62" s="26">
        <f>IF(C62="","",SUMIFS('Daily Time Log'!$H$4:$H$404,'Daily Time Log'!$A$4:$A$404,C62))</f>
        <v>0</v>
      </c>
    </row>
    <row r="63" spans="2:4" ht="15" customHeight="1">
      <c r="B63" s="26">
        <v>14</v>
      </c>
      <c r="C63" s="29">
        <f t="shared" si="1"/>
        <v>46279</v>
      </c>
      <c r="D63" s="26">
        <f>IF(C63="","",SUMIFS('Daily Time Log'!$H$4:$H$404,'Daily Time Log'!$A$4:$A$404,C63))</f>
        <v>0</v>
      </c>
    </row>
    <row r="64" spans="2:4" ht="15" customHeight="1">
      <c r="B64" s="26">
        <v>15</v>
      </c>
      <c r="C64" s="29">
        <f t="shared" si="1"/>
        <v>46280</v>
      </c>
      <c r="D64" s="26">
        <f>IF(C64="","",SUMIFS('Daily Time Log'!$H$4:$H$404,'Daily Time Log'!$A$4:$A$404,C64))</f>
        <v>0</v>
      </c>
    </row>
    <row r="65" spans="2:4" ht="15" customHeight="1">
      <c r="B65" s="26">
        <v>16</v>
      </c>
      <c r="C65" s="29">
        <f t="shared" si="1"/>
        <v>46281</v>
      </c>
      <c r="D65" s="26">
        <f>IF(C65="","",SUMIFS('Daily Time Log'!$H$4:$H$404,'Daily Time Log'!$A$4:$A$404,C65))</f>
        <v>0</v>
      </c>
    </row>
    <row r="66" spans="2:4" ht="15" customHeight="1">
      <c r="B66" s="26">
        <v>17</v>
      </c>
      <c r="C66" s="29">
        <f t="shared" si="1"/>
        <v>46282</v>
      </c>
      <c r="D66" s="26">
        <f>IF(C66="","",SUMIFS('Daily Time Log'!$H$4:$H$404,'Daily Time Log'!$A$4:$A$404,C66))</f>
        <v>0</v>
      </c>
    </row>
    <row r="67" spans="2:4" ht="15" customHeight="1">
      <c r="B67" s="26">
        <v>18</v>
      </c>
      <c r="C67" s="29">
        <f t="shared" si="1"/>
        <v>46283</v>
      </c>
      <c r="D67" s="26">
        <f>IF(C67="","",SUMIFS('Daily Time Log'!$H$4:$H$404,'Daily Time Log'!$A$4:$A$404,C67))</f>
        <v>0</v>
      </c>
    </row>
    <row r="68" spans="2:4" ht="15" customHeight="1">
      <c r="B68" s="26">
        <v>19</v>
      </c>
      <c r="C68" s="29">
        <f t="shared" si="1"/>
        <v>46284</v>
      </c>
      <c r="D68" s="26">
        <f>IF(C68="","",SUMIFS('Daily Time Log'!$H$4:$H$404,'Daily Time Log'!$A$4:$A$404,C68))</f>
        <v>0</v>
      </c>
    </row>
    <row r="69" spans="2:4" ht="15" customHeight="1">
      <c r="B69" s="26">
        <v>20</v>
      </c>
      <c r="C69" s="29">
        <f t="shared" si="1"/>
        <v>46285</v>
      </c>
      <c r="D69" s="26">
        <f>IF(C69="","",SUMIFS('Daily Time Log'!$H$4:$H$404,'Daily Time Log'!$A$4:$A$404,C69))</f>
        <v>0</v>
      </c>
    </row>
    <row r="70" spans="2:4" ht="15" customHeight="1">
      <c r="B70" s="26">
        <v>21</v>
      </c>
      <c r="C70" s="29">
        <f t="shared" si="1"/>
        <v>46286</v>
      </c>
      <c r="D70" s="26">
        <f>IF(C70="","",SUMIFS('Daily Time Log'!$H$4:$H$404,'Daily Time Log'!$A$4:$A$404,C70))</f>
        <v>0</v>
      </c>
    </row>
    <row r="71" spans="2:4" ht="15" customHeight="1">
      <c r="B71" s="26">
        <v>22</v>
      </c>
      <c r="C71" s="29">
        <f t="shared" si="1"/>
        <v>46287</v>
      </c>
      <c r="D71" s="26">
        <f>IF(C71="","",SUMIFS('Daily Time Log'!$H$4:$H$404,'Daily Time Log'!$A$4:$A$404,C71))</f>
        <v>0</v>
      </c>
    </row>
    <row r="72" spans="2:4" ht="15" customHeight="1">
      <c r="B72" s="26">
        <v>23</v>
      </c>
      <c r="C72" s="29">
        <f t="shared" si="1"/>
        <v>46288</v>
      </c>
      <c r="D72" s="26">
        <f>IF(C72="","",SUMIFS('Daily Time Log'!$H$4:$H$404,'Daily Time Log'!$A$4:$A$404,C72))</f>
        <v>0</v>
      </c>
    </row>
    <row r="73" spans="2:4" ht="15" customHeight="1">
      <c r="B73" s="26">
        <v>24</v>
      </c>
      <c r="C73" s="29">
        <f t="shared" si="1"/>
        <v>46289</v>
      </c>
      <c r="D73" s="26">
        <f>IF(C73="","",SUMIFS('Daily Time Log'!$H$4:$H$404,'Daily Time Log'!$A$4:$A$404,C73))</f>
        <v>0</v>
      </c>
    </row>
    <row r="74" spans="2:4" ht="15" customHeight="1">
      <c r="B74" s="26">
        <v>25</v>
      </c>
      <c r="C74" s="29">
        <f t="shared" si="1"/>
        <v>46290</v>
      </c>
      <c r="D74" s="26">
        <f>IF(C74="","",SUMIFS('Daily Time Log'!$H$4:$H$404,'Daily Time Log'!$A$4:$A$404,C74))</f>
        <v>0</v>
      </c>
    </row>
    <row r="75" spans="2:4" ht="15" customHeight="1">
      <c r="B75" s="26">
        <v>26</v>
      </c>
      <c r="C75" s="29">
        <f t="shared" si="1"/>
        <v>46291</v>
      </c>
      <c r="D75" s="26">
        <f>IF(C75="","",SUMIFS('Daily Time Log'!$H$4:$H$404,'Daily Time Log'!$A$4:$A$404,C75))</f>
        <v>0</v>
      </c>
    </row>
    <row r="76" spans="2:4" ht="15" customHeight="1">
      <c r="B76" s="26">
        <v>27</v>
      </c>
      <c r="C76" s="29">
        <f t="shared" si="1"/>
        <v>46292</v>
      </c>
      <c r="D76" s="26">
        <f>IF(C76="","",SUMIFS('Daily Time Log'!$H$4:$H$404,'Daily Time Log'!$A$4:$A$404,C76))</f>
        <v>0</v>
      </c>
    </row>
    <row r="77" spans="2:4" ht="15" customHeight="1">
      <c r="B77" s="26">
        <v>28</v>
      </c>
      <c r="C77" s="29">
        <f t="shared" si="1"/>
        <v>46293</v>
      </c>
      <c r="D77" s="26">
        <f>IF(C77="","",SUMIFS('Daily Time Log'!$H$4:$H$404,'Daily Time Log'!$A$4:$A$404,C77))</f>
        <v>0</v>
      </c>
    </row>
    <row r="78" spans="2:4" ht="15" customHeight="1">
      <c r="B78" s="26">
        <v>29</v>
      </c>
      <c r="C78" s="29">
        <f t="shared" si="1"/>
        <v>46294</v>
      </c>
      <c r="D78" s="26">
        <f>IF(C78="","",SUMIFS('Daily Time Log'!$H$4:$H$404,'Daily Time Log'!$A$4:$A$404,C78))</f>
        <v>0</v>
      </c>
    </row>
    <row r="79" spans="2:4" ht="15" customHeight="1">
      <c r="B79" s="26">
        <v>30</v>
      </c>
      <c r="C79" s="29">
        <f t="shared" si="1"/>
        <v>46295</v>
      </c>
      <c r="D79" s="26">
        <f>IF(C79="","",SUMIFS('Daily Time Log'!$H$4:$H$404,'Daily Time Log'!$A$4:$A$404,C79))</f>
        <v>0</v>
      </c>
    </row>
    <row r="80" spans="2:4" ht="15" customHeight="1">
      <c r="B80" s="26">
        <v>31</v>
      </c>
      <c r="C80" s="29">
        <f t="shared" si="1"/>
        <v>46296</v>
      </c>
      <c r="D80" s="26">
        <f>IF(C80="","",SUMIFS('Daily Time Log'!$H$4:$H$404,'Daily Time Log'!$A$4:$A$404,C80))</f>
        <v>0</v>
      </c>
    </row>
  </sheetData>
  <mergeCells count="2">
    <mergeCell ref="B2:K2"/>
    <mergeCell ref="B3:K3"/>
  </mergeCells>
  <dataValidations count="1">
    <dataValidation type="whole" allowBlank="1" sqref="D5" xr:uid="{00000000-0002-0000-0500-000000000000}">
      <formula1>1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399"/>
  <sheetViews>
    <sheetView showGridLines="0" tabSelected="1" zoomScaleNormal="100" workbookViewId="0">
      <pane ySplit="4" topLeftCell="A5" activePane="bottomLeft" state="frozen"/>
      <selection pane="bottomLeft" activeCell="C31" sqref="C31"/>
    </sheetView>
  </sheetViews>
  <sheetFormatPr defaultColWidth="8.7109375" defaultRowHeight="14.45"/>
  <cols>
    <col min="1" max="1" width="13" customWidth="1"/>
    <col min="2" max="2" width="18" customWidth="1"/>
    <col min="3" max="3" width="35.42578125" customWidth="1"/>
    <col min="4" max="4" width="18.5703125" bestFit="1" customWidth="1"/>
    <col min="5" max="5" width="61" bestFit="1" customWidth="1"/>
    <col min="6" max="6" width="53.5703125" bestFit="1" customWidth="1"/>
    <col min="7" max="7" width="30" customWidth="1"/>
    <col min="8" max="8" width="16" customWidth="1"/>
    <col min="9" max="9" width="13" customWidth="1"/>
    <col min="10" max="10" width="11" customWidth="1"/>
    <col min="11" max="11" width="30" customWidth="1"/>
  </cols>
  <sheetData>
    <row r="1" spans="1:11" ht="21">
      <c r="A1" s="32" t="s">
        <v>117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31" t="s">
        <v>118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5.6">
      <c r="A3" s="14" t="s">
        <v>119</v>
      </c>
      <c r="C3" s="15">
        <f>COUNTIFS($J$6:$J$399,"No")</f>
        <v>0</v>
      </c>
      <c r="D3" s="14" t="s">
        <v>120</v>
      </c>
      <c r="F3" s="15">
        <f>COUNTIFS($D$6:$D$399,"Blocked")</f>
        <v>3</v>
      </c>
    </row>
    <row r="5" spans="1:11" ht="25.5" customHeight="1">
      <c r="A5" s="5" t="s">
        <v>121</v>
      </c>
      <c r="B5" s="5" t="s">
        <v>20</v>
      </c>
      <c r="C5" s="5" t="s">
        <v>122</v>
      </c>
      <c r="D5" s="5" t="s">
        <v>71</v>
      </c>
      <c r="E5" s="5" t="s">
        <v>123</v>
      </c>
      <c r="F5" s="5" t="s">
        <v>124</v>
      </c>
      <c r="G5" s="5" t="s">
        <v>125</v>
      </c>
      <c r="H5" s="5" t="s">
        <v>126</v>
      </c>
      <c r="I5" s="5" t="s">
        <v>127</v>
      </c>
      <c r="J5" s="5" t="s">
        <v>128</v>
      </c>
      <c r="K5" s="5" t="s">
        <v>129</v>
      </c>
    </row>
    <row r="6" spans="1:11" hidden="1">
      <c r="A6" s="9">
        <v>46265</v>
      </c>
      <c r="B6" s="10" t="s">
        <v>73</v>
      </c>
      <c r="C6" s="10" t="s">
        <v>130</v>
      </c>
      <c r="D6" s="10" t="s">
        <v>77</v>
      </c>
      <c r="E6" s="10" t="s">
        <v>131</v>
      </c>
      <c r="F6" s="10" t="s">
        <v>132</v>
      </c>
      <c r="G6" s="10" t="s">
        <v>133</v>
      </c>
      <c r="H6" s="10" t="s">
        <v>73</v>
      </c>
      <c r="I6" s="9">
        <v>46269</v>
      </c>
      <c r="J6" s="10" t="s">
        <v>134</v>
      </c>
      <c r="K6" s="10" t="s">
        <v>135</v>
      </c>
    </row>
    <row r="7" spans="1:11" hidden="1">
      <c r="A7" s="12">
        <v>46267</v>
      </c>
      <c r="B7" s="8" t="s">
        <v>29</v>
      </c>
      <c r="C7" s="8" t="s">
        <v>136</v>
      </c>
      <c r="D7" s="8" t="s">
        <v>137</v>
      </c>
      <c r="E7" s="8" t="s">
        <v>138</v>
      </c>
      <c r="F7" s="8"/>
      <c r="G7" s="8"/>
      <c r="H7" s="8"/>
      <c r="I7" s="12"/>
      <c r="J7" s="8"/>
      <c r="K7" s="8"/>
    </row>
    <row r="8" spans="1:11" hidden="1">
      <c r="A8" s="12">
        <v>46267</v>
      </c>
      <c r="B8" s="8" t="s">
        <v>29</v>
      </c>
      <c r="C8" s="8" t="s">
        <v>139</v>
      </c>
      <c r="D8" s="8" t="s">
        <v>137</v>
      </c>
      <c r="E8" s="8" t="s">
        <v>140</v>
      </c>
      <c r="F8" s="8"/>
      <c r="G8" s="8"/>
      <c r="H8" s="8"/>
      <c r="I8" s="12"/>
      <c r="J8" s="8"/>
      <c r="K8" s="8"/>
    </row>
    <row r="9" spans="1:11" ht="27" hidden="1">
      <c r="A9" s="12">
        <v>46267</v>
      </c>
      <c r="B9" s="8" t="s">
        <v>29</v>
      </c>
      <c r="C9" s="8" t="s">
        <v>141</v>
      </c>
      <c r="D9" s="8" t="s">
        <v>137</v>
      </c>
      <c r="E9" s="8"/>
      <c r="F9" s="30" t="s">
        <v>142</v>
      </c>
      <c r="G9" s="8"/>
      <c r="H9" s="8"/>
      <c r="I9" s="12"/>
      <c r="J9" s="8"/>
      <c r="K9" s="8"/>
    </row>
    <row r="10" spans="1:11" hidden="1">
      <c r="A10" s="12">
        <v>46267</v>
      </c>
      <c r="B10" s="8" t="s">
        <v>25</v>
      </c>
      <c r="C10" s="8" t="s">
        <v>143</v>
      </c>
      <c r="D10" s="8" t="s">
        <v>137</v>
      </c>
      <c r="E10" s="8"/>
      <c r="F10" s="8"/>
      <c r="G10" s="8"/>
      <c r="H10" s="8"/>
      <c r="I10" s="12"/>
      <c r="J10" s="8"/>
      <c r="K10" s="8"/>
    </row>
    <row r="11" spans="1:11" hidden="1">
      <c r="A11" s="12">
        <v>46267</v>
      </c>
      <c r="B11" s="8" t="s">
        <v>25</v>
      </c>
      <c r="C11" s="8" t="s">
        <v>144</v>
      </c>
      <c r="D11" s="8" t="s">
        <v>145</v>
      </c>
      <c r="E11" s="8"/>
      <c r="F11" s="8" t="s">
        <v>146</v>
      </c>
      <c r="G11" s="8"/>
      <c r="H11" s="8"/>
      <c r="I11" s="12"/>
      <c r="J11" s="8"/>
      <c r="K11" s="8"/>
    </row>
    <row r="12" spans="1:11" hidden="1">
      <c r="A12" s="12">
        <v>46267</v>
      </c>
      <c r="B12" s="8" t="s">
        <v>25</v>
      </c>
      <c r="C12" s="8" t="s">
        <v>147</v>
      </c>
      <c r="D12" s="8" t="s">
        <v>137</v>
      </c>
      <c r="E12" s="8"/>
      <c r="F12" s="8"/>
      <c r="G12" s="8"/>
      <c r="H12" s="8"/>
      <c r="I12" s="12"/>
      <c r="J12" s="8"/>
      <c r="K12" s="8"/>
    </row>
    <row r="13" spans="1:11" hidden="1">
      <c r="A13" s="12">
        <v>46267</v>
      </c>
      <c r="B13" s="8" t="s">
        <v>25</v>
      </c>
      <c r="C13" s="8" t="s">
        <v>148</v>
      </c>
      <c r="D13" s="8" t="s">
        <v>145</v>
      </c>
      <c r="E13" s="8"/>
      <c r="F13" s="8"/>
      <c r="G13" s="8"/>
      <c r="H13" s="8"/>
      <c r="I13" s="12"/>
      <c r="J13" s="8"/>
      <c r="K13" s="8"/>
    </row>
    <row r="14" spans="1:11" hidden="1">
      <c r="A14" s="12">
        <v>46267</v>
      </c>
      <c r="B14" s="8" t="s">
        <v>25</v>
      </c>
      <c r="C14" s="8" t="s">
        <v>149</v>
      </c>
      <c r="D14" s="8" t="s">
        <v>145</v>
      </c>
      <c r="E14" s="8"/>
      <c r="F14" s="8"/>
      <c r="G14" s="8"/>
      <c r="H14" s="8"/>
      <c r="I14" s="12"/>
      <c r="J14" s="8"/>
      <c r="K14" s="8"/>
    </row>
    <row r="15" spans="1:11" hidden="1">
      <c r="A15" s="12">
        <v>46267</v>
      </c>
      <c r="B15" s="8" t="s">
        <v>25</v>
      </c>
      <c r="C15" s="8" t="s">
        <v>150</v>
      </c>
      <c r="D15" s="8" t="s">
        <v>77</v>
      </c>
      <c r="E15" s="8" t="s">
        <v>151</v>
      </c>
      <c r="F15" s="8"/>
      <c r="G15" s="8"/>
      <c r="H15" s="8"/>
      <c r="I15" s="12"/>
      <c r="J15" s="8"/>
      <c r="K15" s="8"/>
    </row>
    <row r="16" spans="1:11" hidden="1">
      <c r="A16" s="12">
        <v>46267</v>
      </c>
      <c r="B16" s="8" t="s">
        <v>32</v>
      </c>
      <c r="C16" s="8" t="s">
        <v>152</v>
      </c>
      <c r="D16" s="8" t="s">
        <v>77</v>
      </c>
      <c r="E16" s="8"/>
      <c r="F16" s="8"/>
      <c r="G16" s="8"/>
      <c r="H16" s="8"/>
      <c r="I16" s="12"/>
      <c r="J16" s="8"/>
      <c r="K16" s="8"/>
    </row>
    <row r="17" spans="1:11" hidden="1">
      <c r="A17" s="12">
        <v>46267</v>
      </c>
      <c r="B17" s="8" t="s">
        <v>32</v>
      </c>
      <c r="C17" s="8" t="s">
        <v>153</v>
      </c>
      <c r="D17" s="8" t="s">
        <v>77</v>
      </c>
      <c r="E17" s="8"/>
      <c r="F17" s="8"/>
      <c r="G17" s="8"/>
      <c r="H17" s="8"/>
      <c r="I17" s="12"/>
      <c r="J17" s="8"/>
      <c r="K17" s="8"/>
    </row>
    <row r="18" spans="1:11" hidden="1">
      <c r="A18" s="12">
        <v>46267</v>
      </c>
      <c r="B18" s="8" t="s">
        <v>32</v>
      </c>
      <c r="C18" s="8" t="s">
        <v>154</v>
      </c>
      <c r="D18" s="8" t="s">
        <v>77</v>
      </c>
      <c r="E18" s="8"/>
      <c r="F18" s="8"/>
      <c r="G18" s="8"/>
      <c r="H18" s="8"/>
      <c r="I18" s="12"/>
      <c r="J18" s="8"/>
      <c r="K18" s="8"/>
    </row>
    <row r="19" spans="1:11" hidden="1">
      <c r="A19" s="12">
        <v>46267</v>
      </c>
      <c r="B19" s="8" t="s">
        <v>38</v>
      </c>
      <c r="C19" s="8" t="s">
        <v>155</v>
      </c>
      <c r="D19" s="8" t="s">
        <v>137</v>
      </c>
      <c r="E19" s="8"/>
      <c r="F19" s="8"/>
      <c r="G19" s="8"/>
      <c r="H19" s="8"/>
      <c r="I19" s="12"/>
      <c r="J19" s="8"/>
      <c r="K19" s="8"/>
    </row>
    <row r="20" spans="1:11">
      <c r="A20" s="12">
        <v>46267</v>
      </c>
      <c r="B20" s="8" t="s">
        <v>35</v>
      </c>
      <c r="C20" s="8" t="s">
        <v>156</v>
      </c>
      <c r="D20" s="8" t="s">
        <v>77</v>
      </c>
      <c r="E20" s="8"/>
      <c r="F20" s="8"/>
      <c r="G20" s="8"/>
      <c r="H20" s="8"/>
      <c r="I20" s="12"/>
      <c r="J20" s="8"/>
      <c r="K20" s="8"/>
    </row>
    <row r="21" spans="1:11" hidden="1">
      <c r="A21" s="12">
        <v>46274</v>
      </c>
      <c r="B21" s="8" t="s">
        <v>32</v>
      </c>
      <c r="C21" s="8" t="s">
        <v>157</v>
      </c>
      <c r="D21" s="8" t="s">
        <v>77</v>
      </c>
      <c r="E21" s="8"/>
      <c r="F21" s="8"/>
      <c r="G21" s="8"/>
      <c r="H21" s="8"/>
      <c r="I21" s="12"/>
      <c r="J21" s="8"/>
      <c r="K21" s="8"/>
    </row>
    <row r="22" spans="1:11" hidden="1">
      <c r="A22" s="12">
        <v>46274</v>
      </c>
      <c r="B22" s="8" t="s">
        <v>32</v>
      </c>
      <c r="C22" s="8" t="s">
        <v>158</v>
      </c>
      <c r="D22" s="8" t="s">
        <v>137</v>
      </c>
      <c r="E22" s="8" t="s">
        <v>159</v>
      </c>
      <c r="F22" s="8" t="s">
        <v>160</v>
      </c>
      <c r="G22" s="8"/>
      <c r="H22" s="8"/>
      <c r="I22" s="12"/>
      <c r="J22" s="8"/>
      <c r="K22" s="8"/>
    </row>
    <row r="23" spans="1:11" hidden="1">
      <c r="A23" s="12">
        <v>46274</v>
      </c>
      <c r="B23" s="8" t="s">
        <v>29</v>
      </c>
      <c r="C23" s="8" t="s">
        <v>161</v>
      </c>
      <c r="D23" s="8" t="s">
        <v>137</v>
      </c>
      <c r="E23" s="8" t="s">
        <v>162</v>
      </c>
      <c r="F23" s="8"/>
      <c r="G23" s="8"/>
      <c r="H23" s="8"/>
      <c r="I23" s="12"/>
      <c r="J23" s="8"/>
      <c r="K23" s="8"/>
    </row>
    <row r="24" spans="1:11" hidden="1">
      <c r="A24" s="12">
        <v>46274</v>
      </c>
      <c r="B24" s="8" t="s">
        <v>25</v>
      </c>
      <c r="C24" s="8" t="s">
        <v>163</v>
      </c>
      <c r="D24" s="8" t="s">
        <v>137</v>
      </c>
      <c r="E24" s="8" t="s">
        <v>164</v>
      </c>
      <c r="F24" s="8"/>
      <c r="G24" s="8"/>
      <c r="H24" s="8"/>
      <c r="I24" s="12"/>
      <c r="J24" s="8"/>
      <c r="K24" s="8"/>
    </row>
    <row r="25" spans="1:11" hidden="1">
      <c r="A25" s="12">
        <v>46274</v>
      </c>
      <c r="B25" s="8" t="s">
        <v>25</v>
      </c>
      <c r="C25" s="8" t="s">
        <v>165</v>
      </c>
      <c r="D25" s="8" t="s">
        <v>77</v>
      </c>
      <c r="E25" s="8"/>
      <c r="F25" s="8"/>
      <c r="G25" s="8"/>
      <c r="H25" s="8"/>
      <c r="I25" s="12"/>
      <c r="J25" s="8"/>
      <c r="K25" s="8"/>
    </row>
    <row r="26" spans="1:11" hidden="1">
      <c r="A26" s="12">
        <v>46274</v>
      </c>
      <c r="B26" s="8" t="s">
        <v>32</v>
      </c>
      <c r="C26" s="8" t="s">
        <v>166</v>
      </c>
      <c r="D26" s="8" t="s">
        <v>77</v>
      </c>
      <c r="E26" s="8" t="s">
        <v>167</v>
      </c>
      <c r="F26" s="8"/>
      <c r="G26" s="8"/>
      <c r="H26" s="8"/>
      <c r="I26" s="12"/>
      <c r="J26" s="8"/>
      <c r="K26" s="8"/>
    </row>
    <row r="27" spans="1:11">
      <c r="A27" s="12">
        <v>46274</v>
      </c>
      <c r="B27" s="8" t="s">
        <v>35</v>
      </c>
      <c r="C27" s="8" t="s">
        <v>168</v>
      </c>
      <c r="D27" s="8" t="s">
        <v>77</v>
      </c>
      <c r="E27" s="8"/>
      <c r="F27" s="8"/>
      <c r="G27" s="8"/>
      <c r="H27" s="8"/>
      <c r="I27" s="12"/>
      <c r="J27" s="8"/>
      <c r="K27" s="8"/>
    </row>
    <row r="28" spans="1:11">
      <c r="A28" s="12">
        <v>46281</v>
      </c>
      <c r="B28" s="8" t="s">
        <v>35</v>
      </c>
      <c r="C28" s="8" t="s">
        <v>169</v>
      </c>
      <c r="D28" s="8" t="s">
        <v>77</v>
      </c>
      <c r="E28" s="8"/>
      <c r="F28" s="8"/>
      <c r="G28" s="8"/>
      <c r="H28" s="8"/>
      <c r="I28" s="12"/>
      <c r="J28" s="8"/>
      <c r="K28" s="8"/>
    </row>
    <row r="29" spans="1:11" hidden="1">
      <c r="A29" s="12">
        <v>46281</v>
      </c>
      <c r="B29" s="8" t="s">
        <v>25</v>
      </c>
      <c r="C29" s="8" t="s">
        <v>170</v>
      </c>
      <c r="D29" s="8" t="s">
        <v>137</v>
      </c>
      <c r="E29" s="8"/>
      <c r="F29" s="8"/>
      <c r="G29" s="8"/>
      <c r="H29" s="8"/>
      <c r="I29" s="12"/>
      <c r="J29" s="8"/>
      <c r="K29" s="8"/>
    </row>
    <row r="30" spans="1:11" hidden="1">
      <c r="A30" s="12">
        <v>46281</v>
      </c>
      <c r="B30" s="8" t="s">
        <v>29</v>
      </c>
      <c r="C30" s="8" t="s">
        <v>171</v>
      </c>
      <c r="D30" s="8" t="s">
        <v>137</v>
      </c>
      <c r="E30" s="8"/>
      <c r="F30" s="8"/>
      <c r="G30" s="8"/>
      <c r="H30" s="8"/>
      <c r="I30" s="12"/>
      <c r="J30" s="8"/>
      <c r="K30" s="8"/>
    </row>
    <row r="31" spans="1:11">
      <c r="A31" s="12">
        <v>46281</v>
      </c>
      <c r="B31" s="8" t="s">
        <v>35</v>
      </c>
      <c r="C31" s="8" t="s">
        <v>172</v>
      </c>
      <c r="D31" s="8" t="s">
        <v>137</v>
      </c>
      <c r="E31" s="8" t="s">
        <v>173</v>
      </c>
      <c r="F31" s="8"/>
      <c r="G31" s="8"/>
      <c r="H31" s="8"/>
      <c r="I31" s="12"/>
      <c r="J31" s="8"/>
      <c r="K31" s="8"/>
    </row>
    <row r="32" spans="1:11" hidden="1">
      <c r="A32" s="12">
        <v>46288</v>
      </c>
      <c r="B32" s="8" t="s">
        <v>29</v>
      </c>
      <c r="C32" s="8" t="s">
        <v>174</v>
      </c>
      <c r="D32" s="8" t="s">
        <v>137</v>
      </c>
      <c r="E32" s="8" t="s">
        <v>175</v>
      </c>
      <c r="F32" s="8"/>
      <c r="G32" s="8"/>
      <c r="H32" s="8"/>
      <c r="I32" s="12"/>
      <c r="J32" s="8"/>
      <c r="K32" s="8"/>
    </row>
    <row r="33" spans="1:11" hidden="1">
      <c r="A33" s="12">
        <v>46288</v>
      </c>
      <c r="B33" s="8" t="s">
        <v>29</v>
      </c>
      <c r="C33" s="8" t="s">
        <v>176</v>
      </c>
      <c r="D33" s="8" t="s">
        <v>137</v>
      </c>
      <c r="E33" s="8" t="s">
        <v>177</v>
      </c>
      <c r="F33" s="8"/>
      <c r="G33" s="8"/>
      <c r="H33" s="8"/>
      <c r="I33" s="12"/>
      <c r="J33" s="8"/>
      <c r="K33" s="8"/>
    </row>
    <row r="34" spans="1:11" hidden="1">
      <c r="A34" s="12">
        <v>46288</v>
      </c>
      <c r="B34" s="8" t="s">
        <v>29</v>
      </c>
      <c r="C34" s="8" t="s">
        <v>178</v>
      </c>
      <c r="D34" s="8" t="s">
        <v>137</v>
      </c>
      <c r="E34" s="8"/>
      <c r="F34" s="8"/>
      <c r="G34" s="8"/>
      <c r="H34" s="8"/>
      <c r="I34" s="12"/>
      <c r="J34" s="8"/>
      <c r="K34" s="8"/>
    </row>
    <row r="35" spans="1:11" hidden="1">
      <c r="A35" s="12">
        <v>46288</v>
      </c>
      <c r="B35" s="8" t="s">
        <v>29</v>
      </c>
      <c r="C35" s="8" t="s">
        <v>179</v>
      </c>
      <c r="D35" s="8" t="s">
        <v>180</v>
      </c>
      <c r="E35" s="8" t="s">
        <v>181</v>
      </c>
      <c r="F35" s="8"/>
      <c r="G35" s="8"/>
      <c r="H35" s="8"/>
      <c r="I35" s="12"/>
      <c r="J35" s="8"/>
      <c r="K35" s="8"/>
    </row>
    <row r="36" spans="1:11" hidden="1">
      <c r="A36" s="12"/>
      <c r="B36" s="8"/>
      <c r="C36" s="8"/>
      <c r="D36" s="8"/>
      <c r="E36" s="8"/>
      <c r="F36" s="8"/>
      <c r="G36" s="8"/>
      <c r="H36" s="8"/>
      <c r="I36" s="12"/>
      <c r="J36" s="8"/>
      <c r="K36" s="8"/>
    </row>
    <row r="37" spans="1:11" hidden="1">
      <c r="A37" s="12"/>
      <c r="B37" s="8"/>
      <c r="C37" s="8"/>
      <c r="D37" s="8"/>
      <c r="E37" s="8"/>
      <c r="F37" s="8"/>
      <c r="G37" s="8"/>
      <c r="H37" s="8"/>
      <c r="I37" s="12"/>
      <c r="J37" s="8"/>
      <c r="K37" s="8"/>
    </row>
    <row r="38" spans="1:11" hidden="1">
      <c r="A38" s="12"/>
      <c r="B38" s="8"/>
      <c r="C38" s="8"/>
      <c r="D38" s="8"/>
      <c r="E38" s="8"/>
      <c r="F38" s="8"/>
      <c r="G38" s="8"/>
      <c r="H38" s="8"/>
      <c r="I38" s="12"/>
      <c r="J38" s="8"/>
      <c r="K38" s="8"/>
    </row>
    <row r="39" spans="1:11" hidden="1">
      <c r="A39" s="12"/>
      <c r="B39" s="8"/>
      <c r="C39" s="8"/>
      <c r="D39" s="8"/>
      <c r="E39" s="8"/>
      <c r="F39" s="8"/>
      <c r="G39" s="8"/>
      <c r="H39" s="8"/>
      <c r="I39" s="12"/>
      <c r="J39" s="8"/>
      <c r="K39" s="8"/>
    </row>
    <row r="40" spans="1:11" hidden="1">
      <c r="A40" s="12"/>
      <c r="B40" s="8"/>
      <c r="C40" s="8"/>
      <c r="D40" s="8"/>
      <c r="E40" s="8"/>
      <c r="F40" s="8"/>
      <c r="G40" s="8"/>
      <c r="H40" s="8"/>
      <c r="I40" s="12"/>
      <c r="J40" s="8"/>
      <c r="K40" s="8"/>
    </row>
    <row r="41" spans="1:11" hidden="1">
      <c r="A41" s="12"/>
      <c r="B41" s="8"/>
      <c r="C41" s="8"/>
      <c r="D41" s="8"/>
      <c r="E41" s="8"/>
      <c r="F41" s="8"/>
      <c r="G41" s="8"/>
      <c r="H41" s="8"/>
      <c r="I41" s="12"/>
      <c r="J41" s="8"/>
      <c r="K41" s="8"/>
    </row>
    <row r="42" spans="1:11" hidden="1">
      <c r="A42" s="12"/>
      <c r="B42" s="8"/>
      <c r="C42" s="8"/>
      <c r="D42" s="8"/>
      <c r="E42" s="8"/>
      <c r="F42" s="8"/>
      <c r="G42" s="8"/>
      <c r="H42" s="8"/>
      <c r="I42" s="12"/>
      <c r="J42" s="8"/>
      <c r="K42" s="8"/>
    </row>
    <row r="43" spans="1:11" hidden="1">
      <c r="A43" s="12"/>
      <c r="B43" s="8"/>
      <c r="C43" s="8"/>
      <c r="D43" s="8"/>
      <c r="E43" s="8"/>
      <c r="F43" s="8"/>
      <c r="G43" s="8"/>
      <c r="H43" s="8"/>
      <c r="I43" s="12"/>
      <c r="J43" s="8"/>
      <c r="K43" s="8"/>
    </row>
    <row r="44" spans="1:11" hidden="1">
      <c r="A44" s="12"/>
      <c r="B44" s="8"/>
      <c r="C44" s="8"/>
      <c r="D44" s="8"/>
      <c r="E44" s="8"/>
      <c r="F44" s="8"/>
      <c r="G44" s="8"/>
      <c r="H44" s="8"/>
      <c r="I44" s="12"/>
      <c r="J44" s="8"/>
      <c r="K44" s="8"/>
    </row>
    <row r="45" spans="1:11">
      <c r="A45" s="12"/>
      <c r="B45" s="8"/>
      <c r="C45" s="8"/>
      <c r="D45" s="8"/>
      <c r="E45" s="8"/>
      <c r="F45" s="8"/>
      <c r="G45" s="8"/>
      <c r="H45" s="8"/>
      <c r="I45" s="12"/>
      <c r="J45" s="8"/>
      <c r="K45" s="8"/>
    </row>
    <row r="46" spans="1:11">
      <c r="A46" s="12"/>
      <c r="B46" s="8"/>
      <c r="C46" s="8"/>
      <c r="D46" s="8"/>
      <c r="E46" s="8"/>
      <c r="F46" s="8"/>
      <c r="G46" s="8"/>
      <c r="H46" s="8"/>
      <c r="I46" s="12"/>
      <c r="J46" s="8"/>
      <c r="K46" s="8"/>
    </row>
    <row r="47" spans="1:11">
      <c r="A47" s="12"/>
      <c r="B47" s="8"/>
      <c r="C47" s="8"/>
      <c r="D47" s="8"/>
      <c r="E47" s="8"/>
      <c r="F47" s="8"/>
      <c r="G47" s="8"/>
      <c r="H47" s="8"/>
      <c r="I47" s="12"/>
      <c r="J47" s="8"/>
      <c r="K47" s="8"/>
    </row>
    <row r="48" spans="1:11">
      <c r="A48" s="12"/>
      <c r="B48" s="8"/>
      <c r="C48" s="8"/>
      <c r="D48" s="8"/>
      <c r="E48" s="8"/>
      <c r="F48" s="8"/>
      <c r="G48" s="8"/>
      <c r="H48" s="8"/>
      <c r="I48" s="12"/>
      <c r="J48" s="8"/>
      <c r="K48" s="8"/>
    </row>
    <row r="49" spans="1:11">
      <c r="A49" s="12"/>
      <c r="B49" s="8"/>
      <c r="C49" s="8"/>
      <c r="D49" s="8"/>
      <c r="E49" s="8"/>
      <c r="F49" s="8"/>
      <c r="G49" s="8"/>
      <c r="H49" s="8"/>
      <c r="I49" s="12"/>
      <c r="J49" s="8"/>
      <c r="K49" s="8"/>
    </row>
    <row r="50" spans="1:11">
      <c r="A50" s="12"/>
      <c r="B50" s="8"/>
      <c r="C50" s="8"/>
      <c r="D50" s="8"/>
      <c r="E50" s="8"/>
      <c r="F50" s="8"/>
      <c r="G50" s="8"/>
      <c r="H50" s="8"/>
      <c r="I50" s="12"/>
      <c r="J50" s="8"/>
      <c r="K50" s="8"/>
    </row>
    <row r="51" spans="1:11">
      <c r="A51" s="12"/>
      <c r="B51" s="8"/>
      <c r="C51" s="8"/>
      <c r="D51" s="8"/>
      <c r="E51" s="8"/>
      <c r="F51" s="8"/>
      <c r="G51" s="8"/>
      <c r="H51" s="8"/>
      <c r="I51" s="12"/>
      <c r="J51" s="8"/>
      <c r="K51" s="8"/>
    </row>
    <row r="52" spans="1:11">
      <c r="A52" s="12"/>
      <c r="B52" s="8"/>
      <c r="C52" s="8"/>
      <c r="D52" s="8"/>
      <c r="E52" s="8"/>
      <c r="F52" s="8"/>
      <c r="G52" s="8"/>
      <c r="H52" s="8"/>
      <c r="I52" s="12"/>
      <c r="J52" s="8"/>
      <c r="K52" s="8"/>
    </row>
    <row r="53" spans="1:11">
      <c r="A53" s="12"/>
      <c r="B53" s="8"/>
      <c r="C53" s="8"/>
      <c r="D53" s="8"/>
      <c r="E53" s="8"/>
      <c r="F53" s="8"/>
      <c r="G53" s="8"/>
      <c r="H53" s="8"/>
      <c r="I53" s="12"/>
      <c r="J53" s="8"/>
      <c r="K53" s="8"/>
    </row>
    <row r="54" spans="1:11">
      <c r="A54" s="12"/>
      <c r="B54" s="8"/>
      <c r="C54" s="8"/>
      <c r="D54" s="8"/>
      <c r="E54" s="8"/>
      <c r="F54" s="8"/>
      <c r="G54" s="8"/>
      <c r="H54" s="8"/>
      <c r="I54" s="12"/>
      <c r="J54" s="8"/>
      <c r="K54" s="8"/>
    </row>
    <row r="55" spans="1:11">
      <c r="A55" s="12"/>
      <c r="B55" s="8"/>
      <c r="C55" s="8"/>
      <c r="D55" s="8"/>
      <c r="E55" s="8"/>
      <c r="F55" s="8"/>
      <c r="G55" s="8"/>
      <c r="H55" s="8"/>
      <c r="I55" s="12"/>
      <c r="J55" s="8"/>
      <c r="K55" s="8"/>
    </row>
    <row r="56" spans="1:11">
      <c r="A56" s="12"/>
      <c r="B56" s="8"/>
      <c r="C56" s="8"/>
      <c r="D56" s="8"/>
      <c r="E56" s="8"/>
      <c r="F56" s="8"/>
      <c r="G56" s="8"/>
      <c r="H56" s="8"/>
      <c r="I56" s="12"/>
      <c r="J56" s="8"/>
      <c r="K56" s="8"/>
    </row>
    <row r="57" spans="1:11">
      <c r="A57" s="12"/>
      <c r="B57" s="8"/>
      <c r="C57" s="8"/>
      <c r="D57" s="8"/>
      <c r="E57" s="8"/>
      <c r="F57" s="8"/>
      <c r="G57" s="8"/>
      <c r="H57" s="8"/>
      <c r="I57" s="12"/>
      <c r="J57" s="8"/>
      <c r="K57" s="8"/>
    </row>
    <row r="58" spans="1:11">
      <c r="A58" s="12"/>
      <c r="B58" s="8"/>
      <c r="C58" s="8"/>
      <c r="D58" s="8"/>
      <c r="E58" s="8"/>
      <c r="F58" s="8"/>
      <c r="G58" s="8"/>
      <c r="H58" s="8"/>
      <c r="I58" s="12"/>
      <c r="J58" s="8"/>
      <c r="K58" s="8"/>
    </row>
    <row r="59" spans="1:11">
      <c r="A59" s="12"/>
      <c r="B59" s="8"/>
      <c r="C59" s="8"/>
      <c r="D59" s="8"/>
      <c r="E59" s="8"/>
      <c r="F59" s="8"/>
      <c r="G59" s="8"/>
      <c r="H59" s="8"/>
      <c r="I59" s="12"/>
      <c r="J59" s="8"/>
      <c r="K59" s="8"/>
    </row>
    <row r="60" spans="1:11">
      <c r="A60" s="12"/>
      <c r="B60" s="8"/>
      <c r="C60" s="8"/>
      <c r="D60" s="8"/>
      <c r="E60" s="8"/>
      <c r="F60" s="8"/>
      <c r="G60" s="8"/>
      <c r="H60" s="8"/>
      <c r="I60" s="12"/>
      <c r="J60" s="8"/>
      <c r="K60" s="8"/>
    </row>
    <row r="61" spans="1:11">
      <c r="A61" s="12"/>
      <c r="B61" s="8"/>
      <c r="C61" s="8"/>
      <c r="D61" s="8"/>
      <c r="E61" s="8"/>
      <c r="F61" s="8"/>
      <c r="G61" s="8"/>
      <c r="H61" s="8"/>
      <c r="I61" s="12"/>
      <c r="J61" s="8"/>
      <c r="K61" s="8"/>
    </row>
    <row r="62" spans="1:11">
      <c r="A62" s="12"/>
      <c r="B62" s="8"/>
      <c r="C62" s="8"/>
      <c r="D62" s="8"/>
      <c r="E62" s="8"/>
      <c r="F62" s="8"/>
      <c r="G62" s="8"/>
      <c r="H62" s="8"/>
      <c r="I62" s="12"/>
      <c r="J62" s="8"/>
      <c r="K62" s="8"/>
    </row>
    <row r="63" spans="1:11">
      <c r="A63" s="12"/>
      <c r="B63" s="8"/>
      <c r="C63" s="8"/>
      <c r="D63" s="8"/>
      <c r="E63" s="8"/>
      <c r="F63" s="8"/>
      <c r="G63" s="8"/>
      <c r="H63" s="8"/>
      <c r="I63" s="12"/>
      <c r="J63" s="8"/>
      <c r="K63" s="8"/>
    </row>
    <row r="64" spans="1:11">
      <c r="A64" s="12"/>
      <c r="B64" s="8"/>
      <c r="C64" s="8"/>
      <c r="D64" s="8"/>
      <c r="E64" s="8"/>
      <c r="F64" s="8"/>
      <c r="G64" s="8"/>
      <c r="H64" s="8"/>
      <c r="I64" s="12"/>
      <c r="J64" s="8"/>
      <c r="K64" s="8"/>
    </row>
    <row r="65" spans="1:11">
      <c r="A65" s="12"/>
      <c r="B65" s="8"/>
      <c r="C65" s="8"/>
      <c r="D65" s="8"/>
      <c r="E65" s="8"/>
      <c r="F65" s="8"/>
      <c r="G65" s="8"/>
      <c r="H65" s="8"/>
      <c r="I65" s="12"/>
      <c r="J65" s="8"/>
      <c r="K65" s="8"/>
    </row>
    <row r="66" spans="1:11">
      <c r="A66" s="12"/>
      <c r="B66" s="8"/>
      <c r="C66" s="8"/>
      <c r="D66" s="8"/>
      <c r="E66" s="8"/>
      <c r="F66" s="8"/>
      <c r="G66" s="8"/>
      <c r="H66" s="8"/>
      <c r="I66" s="12"/>
      <c r="J66" s="8"/>
      <c r="K66" s="8"/>
    </row>
    <row r="67" spans="1:11">
      <c r="A67" s="12"/>
      <c r="B67" s="8"/>
      <c r="C67" s="8"/>
      <c r="D67" s="8"/>
      <c r="E67" s="8"/>
      <c r="F67" s="8"/>
      <c r="G67" s="8"/>
      <c r="H67" s="8"/>
      <c r="I67" s="12"/>
      <c r="J67" s="8"/>
      <c r="K67" s="8"/>
    </row>
    <row r="68" spans="1:11">
      <c r="A68" s="12"/>
      <c r="B68" s="8"/>
      <c r="C68" s="8"/>
      <c r="D68" s="8"/>
      <c r="E68" s="8"/>
      <c r="F68" s="8"/>
      <c r="G68" s="8"/>
      <c r="H68" s="8"/>
      <c r="I68" s="12"/>
      <c r="J68" s="8"/>
      <c r="K68" s="8"/>
    </row>
    <row r="69" spans="1:11">
      <c r="A69" s="12"/>
      <c r="B69" s="8"/>
      <c r="C69" s="8"/>
      <c r="D69" s="8"/>
      <c r="E69" s="8"/>
      <c r="F69" s="8"/>
      <c r="G69" s="8"/>
      <c r="H69" s="8"/>
      <c r="I69" s="12"/>
      <c r="J69" s="8"/>
      <c r="K69" s="8"/>
    </row>
    <row r="70" spans="1:11">
      <c r="A70" s="12"/>
      <c r="B70" s="8"/>
      <c r="C70" s="8"/>
      <c r="D70" s="8"/>
      <c r="E70" s="8"/>
      <c r="F70" s="8"/>
      <c r="G70" s="8"/>
      <c r="H70" s="8"/>
      <c r="I70" s="12"/>
      <c r="J70" s="8"/>
      <c r="K70" s="8"/>
    </row>
    <row r="71" spans="1:11">
      <c r="A71" s="12"/>
      <c r="B71" s="8"/>
      <c r="C71" s="8"/>
      <c r="D71" s="8"/>
      <c r="E71" s="8"/>
      <c r="F71" s="8"/>
      <c r="G71" s="8"/>
      <c r="H71" s="8"/>
      <c r="I71" s="12"/>
      <c r="J71" s="8"/>
      <c r="K71" s="8"/>
    </row>
    <row r="72" spans="1:11">
      <c r="A72" s="12"/>
      <c r="B72" s="8"/>
      <c r="C72" s="8"/>
      <c r="D72" s="8"/>
      <c r="E72" s="8"/>
      <c r="F72" s="8"/>
      <c r="G72" s="8"/>
      <c r="H72" s="8"/>
      <c r="I72" s="12"/>
      <c r="J72" s="8"/>
      <c r="K72" s="8"/>
    </row>
    <row r="73" spans="1:11">
      <c r="A73" s="12"/>
      <c r="B73" s="8"/>
      <c r="C73" s="8"/>
      <c r="D73" s="8"/>
      <c r="E73" s="8"/>
      <c r="F73" s="8"/>
      <c r="G73" s="8"/>
      <c r="H73" s="8"/>
      <c r="I73" s="12"/>
      <c r="J73" s="8"/>
      <c r="K73" s="8"/>
    </row>
    <row r="74" spans="1:11">
      <c r="A74" s="12"/>
      <c r="B74" s="8"/>
      <c r="C74" s="8"/>
      <c r="D74" s="8"/>
      <c r="E74" s="8"/>
      <c r="F74" s="8"/>
      <c r="G74" s="8"/>
      <c r="H74" s="8"/>
      <c r="I74" s="12"/>
      <c r="J74" s="8"/>
      <c r="K74" s="8"/>
    </row>
    <row r="75" spans="1:11">
      <c r="A75" s="12"/>
      <c r="B75" s="8"/>
      <c r="C75" s="8"/>
      <c r="D75" s="8"/>
      <c r="E75" s="8"/>
      <c r="F75" s="8"/>
      <c r="G75" s="8"/>
      <c r="H75" s="8"/>
      <c r="I75" s="12"/>
      <c r="J75" s="8"/>
      <c r="K75" s="8"/>
    </row>
    <row r="76" spans="1:11">
      <c r="A76" s="12"/>
      <c r="B76" s="8"/>
      <c r="C76" s="8"/>
      <c r="D76" s="8"/>
      <c r="E76" s="8"/>
      <c r="F76" s="8"/>
      <c r="G76" s="8"/>
      <c r="H76" s="8"/>
      <c r="I76" s="12"/>
      <c r="J76" s="8"/>
      <c r="K76" s="8"/>
    </row>
    <row r="77" spans="1:11">
      <c r="A77" s="12"/>
      <c r="B77" s="8"/>
      <c r="C77" s="8"/>
      <c r="D77" s="8"/>
      <c r="E77" s="8"/>
      <c r="F77" s="8"/>
      <c r="G77" s="8"/>
      <c r="H77" s="8"/>
      <c r="I77" s="12"/>
      <c r="J77" s="8"/>
      <c r="K77" s="8"/>
    </row>
    <row r="78" spans="1:11">
      <c r="A78" s="12"/>
      <c r="B78" s="8"/>
      <c r="C78" s="8"/>
      <c r="D78" s="8"/>
      <c r="E78" s="8"/>
      <c r="F78" s="8"/>
      <c r="G78" s="8"/>
      <c r="H78" s="8"/>
      <c r="I78" s="12"/>
      <c r="J78" s="8"/>
      <c r="K78" s="8"/>
    </row>
    <row r="79" spans="1:11">
      <c r="A79" s="12"/>
      <c r="B79" s="8"/>
      <c r="C79" s="8"/>
      <c r="D79" s="8"/>
      <c r="E79" s="8"/>
      <c r="F79" s="8"/>
      <c r="G79" s="8"/>
      <c r="H79" s="8"/>
      <c r="I79" s="12"/>
      <c r="J79" s="8"/>
      <c r="K79" s="8"/>
    </row>
    <row r="80" spans="1:11">
      <c r="A80" s="12"/>
      <c r="B80" s="8"/>
      <c r="C80" s="8"/>
      <c r="D80" s="8"/>
      <c r="E80" s="8"/>
      <c r="F80" s="8"/>
      <c r="G80" s="8"/>
      <c r="H80" s="8"/>
      <c r="I80" s="12"/>
      <c r="J80" s="8"/>
      <c r="K80" s="8"/>
    </row>
    <row r="81" spans="1:11">
      <c r="A81" s="12"/>
      <c r="B81" s="8"/>
      <c r="C81" s="8"/>
      <c r="D81" s="8"/>
      <c r="E81" s="8"/>
      <c r="F81" s="8"/>
      <c r="G81" s="8"/>
      <c r="H81" s="8"/>
      <c r="I81" s="12"/>
      <c r="J81" s="8"/>
      <c r="K81" s="8"/>
    </row>
    <row r="82" spans="1:11">
      <c r="A82" s="12"/>
      <c r="B82" s="8"/>
      <c r="C82" s="8"/>
      <c r="D82" s="8"/>
      <c r="E82" s="8"/>
      <c r="F82" s="8"/>
      <c r="G82" s="8"/>
      <c r="H82" s="8"/>
      <c r="I82" s="12"/>
      <c r="J82" s="8"/>
      <c r="K82" s="8"/>
    </row>
    <row r="83" spans="1:11">
      <c r="A83" s="12"/>
      <c r="B83" s="8"/>
      <c r="C83" s="8"/>
      <c r="D83" s="8"/>
      <c r="E83" s="8"/>
      <c r="F83" s="8"/>
      <c r="G83" s="8"/>
      <c r="H83" s="8"/>
      <c r="I83" s="12"/>
      <c r="J83" s="8"/>
      <c r="K83" s="8"/>
    </row>
    <row r="84" spans="1:11">
      <c r="A84" s="12"/>
      <c r="B84" s="8"/>
      <c r="C84" s="8"/>
      <c r="D84" s="8"/>
      <c r="E84" s="8"/>
      <c r="F84" s="8"/>
      <c r="G84" s="8"/>
      <c r="H84" s="8"/>
      <c r="I84" s="12"/>
      <c r="J84" s="8"/>
      <c r="K84" s="8"/>
    </row>
    <row r="85" spans="1:11">
      <c r="A85" s="12"/>
      <c r="B85" s="8"/>
      <c r="C85" s="8"/>
      <c r="D85" s="8"/>
      <c r="E85" s="8"/>
      <c r="F85" s="8"/>
      <c r="G85" s="8"/>
      <c r="H85" s="8"/>
      <c r="I85" s="12"/>
      <c r="J85" s="8"/>
      <c r="K85" s="8"/>
    </row>
    <row r="86" spans="1:11">
      <c r="A86" s="12"/>
      <c r="B86" s="8"/>
      <c r="C86" s="8"/>
      <c r="D86" s="8"/>
      <c r="E86" s="8"/>
      <c r="F86" s="8"/>
      <c r="G86" s="8"/>
      <c r="H86" s="8"/>
      <c r="I86" s="12"/>
      <c r="J86" s="8"/>
      <c r="K86" s="8"/>
    </row>
    <row r="87" spans="1:11">
      <c r="A87" s="12"/>
      <c r="B87" s="8"/>
      <c r="C87" s="8"/>
      <c r="D87" s="8"/>
      <c r="E87" s="8"/>
      <c r="F87" s="8"/>
      <c r="G87" s="8"/>
      <c r="H87" s="8"/>
      <c r="I87" s="12"/>
      <c r="J87" s="8"/>
      <c r="K87" s="8"/>
    </row>
    <row r="88" spans="1:11">
      <c r="A88" s="12"/>
      <c r="B88" s="8"/>
      <c r="C88" s="8"/>
      <c r="D88" s="8"/>
      <c r="E88" s="8"/>
      <c r="F88" s="8"/>
      <c r="G88" s="8"/>
      <c r="H88" s="8"/>
      <c r="I88" s="12"/>
      <c r="J88" s="8"/>
      <c r="K88" s="8"/>
    </row>
    <row r="89" spans="1:11">
      <c r="A89" s="12"/>
      <c r="B89" s="8"/>
      <c r="C89" s="8"/>
      <c r="D89" s="8"/>
      <c r="E89" s="8"/>
      <c r="F89" s="8"/>
      <c r="G89" s="8"/>
      <c r="H89" s="8"/>
      <c r="I89" s="12"/>
      <c r="J89" s="8"/>
      <c r="K89" s="8"/>
    </row>
    <row r="90" spans="1:11">
      <c r="A90" s="12"/>
      <c r="B90" s="8"/>
      <c r="C90" s="8"/>
      <c r="D90" s="8"/>
      <c r="E90" s="8"/>
      <c r="F90" s="8"/>
      <c r="G90" s="8"/>
      <c r="H90" s="8"/>
      <c r="I90" s="12"/>
      <c r="J90" s="8"/>
      <c r="K90" s="8"/>
    </row>
    <row r="91" spans="1:11">
      <c r="A91" s="12"/>
      <c r="B91" s="8"/>
      <c r="C91" s="8"/>
      <c r="D91" s="8"/>
      <c r="E91" s="8"/>
      <c r="F91" s="8"/>
      <c r="G91" s="8"/>
      <c r="H91" s="8"/>
      <c r="I91" s="12"/>
      <c r="J91" s="8"/>
      <c r="K91" s="8"/>
    </row>
    <row r="92" spans="1:11">
      <c r="A92" s="12"/>
      <c r="B92" s="8"/>
      <c r="C92" s="8"/>
      <c r="D92" s="8"/>
      <c r="E92" s="8"/>
      <c r="F92" s="8"/>
      <c r="G92" s="8"/>
      <c r="H92" s="8"/>
      <c r="I92" s="12"/>
      <c r="J92" s="8"/>
      <c r="K92" s="8"/>
    </row>
    <row r="93" spans="1:11">
      <c r="A93" s="12"/>
      <c r="B93" s="8"/>
      <c r="C93" s="8"/>
      <c r="D93" s="8"/>
      <c r="E93" s="8"/>
      <c r="F93" s="8"/>
      <c r="G93" s="8"/>
      <c r="H93" s="8"/>
      <c r="I93" s="12"/>
      <c r="J93" s="8"/>
      <c r="K93" s="8"/>
    </row>
    <row r="94" spans="1:11">
      <c r="A94" s="12"/>
      <c r="B94" s="8"/>
      <c r="C94" s="8"/>
      <c r="D94" s="8"/>
      <c r="E94" s="8"/>
      <c r="F94" s="8"/>
      <c r="G94" s="8"/>
      <c r="H94" s="8"/>
      <c r="I94" s="12"/>
      <c r="J94" s="8"/>
      <c r="K94" s="8"/>
    </row>
    <row r="95" spans="1:11">
      <c r="A95" s="12"/>
      <c r="B95" s="8"/>
      <c r="C95" s="8"/>
      <c r="D95" s="8"/>
      <c r="E95" s="8"/>
      <c r="F95" s="8"/>
      <c r="G95" s="8"/>
      <c r="H95" s="8"/>
      <c r="I95" s="12"/>
      <c r="J95" s="8"/>
      <c r="K95" s="8"/>
    </row>
    <row r="96" spans="1:11">
      <c r="A96" s="12"/>
      <c r="B96" s="8"/>
      <c r="C96" s="8"/>
      <c r="D96" s="8"/>
      <c r="E96" s="8"/>
      <c r="F96" s="8"/>
      <c r="G96" s="8"/>
      <c r="H96" s="8"/>
      <c r="I96" s="12"/>
      <c r="J96" s="8"/>
      <c r="K96" s="8"/>
    </row>
    <row r="97" spans="1:11">
      <c r="A97" s="12"/>
      <c r="B97" s="8"/>
      <c r="C97" s="8"/>
      <c r="D97" s="8"/>
      <c r="E97" s="8"/>
      <c r="F97" s="8"/>
      <c r="G97" s="8"/>
      <c r="H97" s="8"/>
      <c r="I97" s="12"/>
      <c r="J97" s="8"/>
      <c r="K97" s="8"/>
    </row>
    <row r="98" spans="1:11">
      <c r="A98" s="12"/>
      <c r="B98" s="8"/>
      <c r="C98" s="8"/>
      <c r="D98" s="8"/>
      <c r="E98" s="8"/>
      <c r="F98" s="8"/>
      <c r="G98" s="8"/>
      <c r="H98" s="8"/>
      <c r="I98" s="12"/>
      <c r="J98" s="8"/>
      <c r="K98" s="8"/>
    </row>
    <row r="99" spans="1:11">
      <c r="A99" s="12"/>
      <c r="B99" s="8"/>
      <c r="C99" s="8"/>
      <c r="D99" s="8"/>
      <c r="E99" s="8"/>
      <c r="F99" s="8"/>
      <c r="G99" s="8"/>
      <c r="H99" s="8"/>
      <c r="I99" s="12"/>
      <c r="J99" s="8"/>
      <c r="K99" s="8"/>
    </row>
    <row r="100" spans="1:11">
      <c r="A100" s="12"/>
      <c r="B100" s="8"/>
      <c r="C100" s="8"/>
      <c r="D100" s="8"/>
      <c r="E100" s="8"/>
      <c r="F100" s="8"/>
      <c r="G100" s="8"/>
      <c r="H100" s="8"/>
      <c r="I100" s="12"/>
      <c r="J100" s="8"/>
      <c r="K100" s="8"/>
    </row>
    <row r="101" spans="1:11">
      <c r="A101" s="12"/>
      <c r="B101" s="8"/>
      <c r="C101" s="8"/>
      <c r="D101" s="8"/>
      <c r="E101" s="8"/>
      <c r="F101" s="8"/>
      <c r="G101" s="8"/>
      <c r="H101" s="8"/>
      <c r="I101" s="12"/>
      <c r="J101" s="8"/>
      <c r="K101" s="8"/>
    </row>
    <row r="102" spans="1:11">
      <c r="A102" s="12"/>
      <c r="B102" s="8"/>
      <c r="C102" s="8"/>
      <c r="D102" s="8"/>
      <c r="E102" s="8"/>
      <c r="F102" s="8"/>
      <c r="G102" s="8"/>
      <c r="H102" s="8"/>
      <c r="I102" s="12"/>
      <c r="J102" s="8"/>
      <c r="K102" s="8"/>
    </row>
    <row r="103" spans="1:11">
      <c r="A103" s="12"/>
      <c r="B103" s="8"/>
      <c r="C103" s="8"/>
      <c r="D103" s="8"/>
      <c r="E103" s="8"/>
      <c r="F103" s="8"/>
      <c r="G103" s="8"/>
      <c r="H103" s="8"/>
      <c r="I103" s="12"/>
      <c r="J103" s="8"/>
      <c r="K103" s="8"/>
    </row>
    <row r="104" spans="1:11">
      <c r="A104" s="12"/>
      <c r="B104" s="8"/>
      <c r="C104" s="8"/>
      <c r="D104" s="8"/>
      <c r="E104" s="8"/>
      <c r="F104" s="8"/>
      <c r="G104" s="8"/>
      <c r="H104" s="8"/>
      <c r="I104" s="12"/>
      <c r="J104" s="8"/>
      <c r="K104" s="8"/>
    </row>
    <row r="105" spans="1:11">
      <c r="A105" s="12"/>
      <c r="B105" s="8"/>
      <c r="C105" s="8"/>
      <c r="D105" s="8"/>
      <c r="E105" s="8"/>
      <c r="F105" s="8"/>
      <c r="G105" s="8"/>
      <c r="H105" s="8"/>
      <c r="I105" s="12"/>
      <c r="J105" s="8"/>
      <c r="K105" s="8"/>
    </row>
    <row r="106" spans="1:11">
      <c r="A106" s="12"/>
      <c r="B106" s="8"/>
      <c r="C106" s="8"/>
      <c r="D106" s="8"/>
      <c r="E106" s="8"/>
      <c r="F106" s="8"/>
      <c r="G106" s="8"/>
      <c r="H106" s="8"/>
      <c r="I106" s="12"/>
      <c r="J106" s="8"/>
      <c r="K106" s="8"/>
    </row>
    <row r="107" spans="1:11">
      <c r="A107" s="12"/>
      <c r="B107" s="8"/>
      <c r="C107" s="8"/>
      <c r="D107" s="8"/>
      <c r="E107" s="8"/>
      <c r="F107" s="8"/>
      <c r="G107" s="8"/>
      <c r="H107" s="8"/>
      <c r="I107" s="12"/>
      <c r="J107" s="8"/>
      <c r="K107" s="8"/>
    </row>
    <row r="108" spans="1:11">
      <c r="A108" s="12"/>
      <c r="B108" s="8"/>
      <c r="C108" s="8"/>
      <c r="D108" s="8"/>
      <c r="E108" s="8"/>
      <c r="F108" s="8"/>
      <c r="G108" s="8"/>
      <c r="H108" s="8"/>
      <c r="I108" s="12"/>
      <c r="J108" s="8"/>
      <c r="K108" s="8"/>
    </row>
    <row r="109" spans="1:11">
      <c r="A109" s="12"/>
      <c r="B109" s="8"/>
      <c r="C109" s="8"/>
      <c r="D109" s="8"/>
      <c r="E109" s="8"/>
      <c r="F109" s="8"/>
      <c r="G109" s="8"/>
      <c r="H109" s="8"/>
      <c r="I109" s="12"/>
      <c r="J109" s="8"/>
      <c r="K109" s="8"/>
    </row>
    <row r="110" spans="1:11">
      <c r="A110" s="12"/>
      <c r="B110" s="8"/>
      <c r="C110" s="8"/>
      <c r="D110" s="8"/>
      <c r="E110" s="8"/>
      <c r="F110" s="8"/>
      <c r="G110" s="8"/>
      <c r="H110" s="8"/>
      <c r="I110" s="12"/>
      <c r="J110" s="8"/>
      <c r="K110" s="8"/>
    </row>
    <row r="111" spans="1:11">
      <c r="A111" s="12"/>
      <c r="B111" s="8"/>
      <c r="C111" s="8"/>
      <c r="D111" s="8"/>
      <c r="E111" s="8"/>
      <c r="F111" s="8"/>
      <c r="G111" s="8"/>
      <c r="H111" s="8"/>
      <c r="I111" s="12"/>
      <c r="J111" s="8"/>
      <c r="K111" s="8"/>
    </row>
    <row r="112" spans="1:11">
      <c r="A112" s="12"/>
      <c r="B112" s="8"/>
      <c r="C112" s="8"/>
      <c r="D112" s="8"/>
      <c r="E112" s="8"/>
      <c r="F112" s="8"/>
      <c r="G112" s="8"/>
      <c r="H112" s="8"/>
      <c r="I112" s="12"/>
      <c r="J112" s="8"/>
      <c r="K112" s="8"/>
    </row>
    <row r="113" spans="1:11">
      <c r="A113" s="12"/>
      <c r="B113" s="8"/>
      <c r="C113" s="8"/>
      <c r="D113" s="8"/>
      <c r="E113" s="8"/>
      <c r="F113" s="8"/>
      <c r="G113" s="8"/>
      <c r="H113" s="8"/>
      <c r="I113" s="12"/>
      <c r="J113" s="8"/>
      <c r="K113" s="8"/>
    </row>
    <row r="114" spans="1:11">
      <c r="A114" s="12"/>
      <c r="B114" s="8"/>
      <c r="C114" s="8"/>
      <c r="D114" s="8"/>
      <c r="E114" s="8"/>
      <c r="F114" s="8"/>
      <c r="G114" s="8"/>
      <c r="H114" s="8"/>
      <c r="I114" s="12"/>
      <c r="J114" s="8"/>
      <c r="K114" s="8"/>
    </row>
    <row r="115" spans="1:11">
      <c r="A115" s="12"/>
      <c r="B115" s="8"/>
      <c r="C115" s="8"/>
      <c r="D115" s="8"/>
      <c r="E115" s="8"/>
      <c r="F115" s="8"/>
      <c r="G115" s="8"/>
      <c r="H115" s="8"/>
      <c r="I115" s="12"/>
      <c r="J115" s="8"/>
      <c r="K115" s="8"/>
    </row>
    <row r="116" spans="1:11">
      <c r="A116" s="12"/>
      <c r="B116" s="8"/>
      <c r="C116" s="8"/>
      <c r="D116" s="8"/>
      <c r="E116" s="8"/>
      <c r="F116" s="8"/>
      <c r="G116" s="8"/>
      <c r="H116" s="8"/>
      <c r="I116" s="12"/>
      <c r="J116" s="8"/>
      <c r="K116" s="8"/>
    </row>
    <row r="117" spans="1:11">
      <c r="A117" s="12"/>
      <c r="B117" s="8"/>
      <c r="C117" s="8"/>
      <c r="D117" s="8"/>
      <c r="E117" s="8"/>
      <c r="F117" s="8"/>
      <c r="G117" s="8"/>
      <c r="H117" s="8"/>
      <c r="I117" s="12"/>
      <c r="J117" s="8"/>
      <c r="K117" s="8"/>
    </row>
    <row r="118" spans="1:11">
      <c r="A118" s="12"/>
      <c r="B118" s="8"/>
      <c r="C118" s="8"/>
      <c r="D118" s="8"/>
      <c r="E118" s="8"/>
      <c r="F118" s="8"/>
      <c r="G118" s="8"/>
      <c r="H118" s="8"/>
      <c r="I118" s="12"/>
      <c r="J118" s="8"/>
      <c r="K118" s="8"/>
    </row>
    <row r="119" spans="1:11">
      <c r="A119" s="12"/>
      <c r="B119" s="8"/>
      <c r="C119" s="8"/>
      <c r="D119" s="8"/>
      <c r="E119" s="8"/>
      <c r="F119" s="8"/>
      <c r="G119" s="8"/>
      <c r="H119" s="8"/>
      <c r="I119" s="12"/>
      <c r="J119" s="8"/>
      <c r="K119" s="8"/>
    </row>
    <row r="120" spans="1:11">
      <c r="A120" s="12"/>
      <c r="B120" s="8"/>
      <c r="C120" s="8"/>
      <c r="D120" s="8"/>
      <c r="E120" s="8"/>
      <c r="F120" s="8"/>
      <c r="G120" s="8"/>
      <c r="H120" s="8"/>
      <c r="I120" s="12"/>
      <c r="J120" s="8"/>
      <c r="K120" s="8"/>
    </row>
    <row r="121" spans="1:11">
      <c r="A121" s="12"/>
      <c r="B121" s="8"/>
      <c r="C121" s="8"/>
      <c r="D121" s="8"/>
      <c r="E121" s="8"/>
      <c r="F121" s="8"/>
      <c r="G121" s="8"/>
      <c r="H121" s="8"/>
      <c r="I121" s="12"/>
      <c r="J121" s="8"/>
      <c r="K121" s="8"/>
    </row>
    <row r="122" spans="1:11">
      <c r="A122" s="12"/>
      <c r="B122" s="8"/>
      <c r="C122" s="8"/>
      <c r="D122" s="8"/>
      <c r="E122" s="8"/>
      <c r="F122" s="8"/>
      <c r="G122" s="8"/>
      <c r="H122" s="8"/>
      <c r="I122" s="12"/>
      <c r="J122" s="8"/>
      <c r="K122" s="8"/>
    </row>
    <row r="123" spans="1:11">
      <c r="A123" s="12"/>
      <c r="B123" s="8"/>
      <c r="C123" s="8"/>
      <c r="D123" s="8"/>
      <c r="E123" s="8"/>
      <c r="F123" s="8"/>
      <c r="G123" s="8"/>
      <c r="H123" s="8"/>
      <c r="I123" s="12"/>
      <c r="J123" s="8"/>
      <c r="K123" s="8"/>
    </row>
    <row r="124" spans="1:11">
      <c r="A124" s="12"/>
      <c r="B124" s="8"/>
      <c r="C124" s="8"/>
      <c r="D124" s="8"/>
      <c r="E124" s="8"/>
      <c r="F124" s="8"/>
      <c r="G124" s="8"/>
      <c r="H124" s="8"/>
      <c r="I124" s="12"/>
      <c r="J124" s="8"/>
      <c r="K124" s="8"/>
    </row>
    <row r="125" spans="1:11">
      <c r="A125" s="12"/>
      <c r="B125" s="8"/>
      <c r="C125" s="8"/>
      <c r="D125" s="8"/>
      <c r="E125" s="8"/>
      <c r="F125" s="8"/>
      <c r="G125" s="8"/>
      <c r="H125" s="8"/>
      <c r="I125" s="12"/>
      <c r="J125" s="8"/>
      <c r="K125" s="8"/>
    </row>
    <row r="126" spans="1:11">
      <c r="A126" s="12"/>
      <c r="B126" s="8"/>
      <c r="C126" s="8"/>
      <c r="D126" s="8"/>
      <c r="E126" s="8"/>
      <c r="F126" s="8"/>
      <c r="G126" s="8"/>
      <c r="H126" s="8"/>
      <c r="I126" s="12"/>
      <c r="J126" s="8"/>
      <c r="K126" s="8"/>
    </row>
    <row r="127" spans="1:11">
      <c r="A127" s="12"/>
      <c r="B127" s="8"/>
      <c r="C127" s="8"/>
      <c r="D127" s="8"/>
      <c r="E127" s="8"/>
      <c r="F127" s="8"/>
      <c r="G127" s="8"/>
      <c r="H127" s="8"/>
      <c r="I127" s="12"/>
      <c r="J127" s="8"/>
      <c r="K127" s="8"/>
    </row>
    <row r="128" spans="1:11">
      <c r="A128" s="12"/>
      <c r="B128" s="8"/>
      <c r="C128" s="8"/>
      <c r="D128" s="8"/>
      <c r="E128" s="8"/>
      <c r="F128" s="8"/>
      <c r="G128" s="8"/>
      <c r="H128" s="8"/>
      <c r="I128" s="12"/>
      <c r="J128" s="8"/>
      <c r="K128" s="8"/>
    </row>
    <row r="129" spans="1:11">
      <c r="A129" s="12"/>
      <c r="B129" s="8"/>
      <c r="C129" s="8"/>
      <c r="D129" s="8"/>
      <c r="E129" s="8"/>
      <c r="F129" s="8"/>
      <c r="G129" s="8"/>
      <c r="H129" s="8"/>
      <c r="I129" s="12"/>
      <c r="J129" s="8"/>
      <c r="K129" s="8"/>
    </row>
    <row r="130" spans="1:11">
      <c r="A130" s="12"/>
      <c r="B130" s="8"/>
      <c r="C130" s="8"/>
      <c r="D130" s="8"/>
      <c r="E130" s="8"/>
      <c r="F130" s="8"/>
      <c r="G130" s="8"/>
      <c r="H130" s="8"/>
      <c r="I130" s="12"/>
      <c r="J130" s="8"/>
      <c r="K130" s="8"/>
    </row>
    <row r="131" spans="1:11">
      <c r="A131" s="12"/>
      <c r="B131" s="8"/>
      <c r="C131" s="8"/>
      <c r="D131" s="8"/>
      <c r="E131" s="8"/>
      <c r="F131" s="8"/>
      <c r="G131" s="8"/>
      <c r="H131" s="8"/>
      <c r="I131" s="12"/>
      <c r="J131" s="8"/>
      <c r="K131" s="8"/>
    </row>
    <row r="132" spans="1:11">
      <c r="A132" s="12"/>
      <c r="B132" s="8"/>
      <c r="C132" s="8"/>
      <c r="D132" s="8"/>
      <c r="E132" s="8"/>
      <c r="F132" s="8"/>
      <c r="G132" s="8"/>
      <c r="H132" s="8"/>
      <c r="I132" s="12"/>
      <c r="J132" s="8"/>
      <c r="K132" s="8"/>
    </row>
    <row r="133" spans="1:11">
      <c r="A133" s="12"/>
      <c r="B133" s="8"/>
      <c r="C133" s="8"/>
      <c r="D133" s="8"/>
      <c r="E133" s="8"/>
      <c r="F133" s="8"/>
      <c r="G133" s="8"/>
      <c r="H133" s="8"/>
      <c r="I133" s="12"/>
      <c r="J133" s="8"/>
      <c r="K133" s="8"/>
    </row>
    <row r="134" spans="1:11">
      <c r="A134" s="12"/>
      <c r="B134" s="8"/>
      <c r="C134" s="8"/>
      <c r="D134" s="8"/>
      <c r="E134" s="8"/>
      <c r="F134" s="8"/>
      <c r="G134" s="8"/>
      <c r="H134" s="8"/>
      <c r="I134" s="12"/>
      <c r="J134" s="8"/>
      <c r="K134" s="8"/>
    </row>
    <row r="135" spans="1:11">
      <c r="A135" s="12"/>
      <c r="B135" s="8"/>
      <c r="C135" s="8"/>
      <c r="D135" s="8"/>
      <c r="E135" s="8"/>
      <c r="F135" s="8"/>
      <c r="G135" s="8"/>
      <c r="H135" s="8"/>
      <c r="I135" s="12"/>
      <c r="J135" s="8"/>
      <c r="K135" s="8"/>
    </row>
    <row r="136" spans="1:11">
      <c r="A136" s="12"/>
      <c r="B136" s="8"/>
      <c r="C136" s="8"/>
      <c r="D136" s="8"/>
      <c r="E136" s="8"/>
      <c r="F136" s="8"/>
      <c r="G136" s="8"/>
      <c r="H136" s="8"/>
      <c r="I136" s="12"/>
      <c r="J136" s="8"/>
      <c r="K136" s="8"/>
    </row>
    <row r="137" spans="1:11">
      <c r="A137" s="12"/>
      <c r="B137" s="8"/>
      <c r="C137" s="8"/>
      <c r="D137" s="8"/>
      <c r="E137" s="8"/>
      <c r="F137" s="8"/>
      <c r="G137" s="8"/>
      <c r="H137" s="8"/>
      <c r="I137" s="12"/>
      <c r="J137" s="8"/>
      <c r="K137" s="8"/>
    </row>
    <row r="138" spans="1:11">
      <c r="A138" s="12"/>
      <c r="B138" s="8"/>
      <c r="C138" s="8"/>
      <c r="D138" s="8"/>
      <c r="E138" s="8"/>
      <c r="F138" s="8"/>
      <c r="G138" s="8"/>
      <c r="H138" s="8"/>
      <c r="I138" s="12"/>
      <c r="J138" s="8"/>
      <c r="K138" s="8"/>
    </row>
    <row r="139" spans="1:11">
      <c r="A139" s="12"/>
      <c r="B139" s="8"/>
      <c r="C139" s="8"/>
      <c r="D139" s="8"/>
      <c r="E139" s="8"/>
      <c r="F139" s="8"/>
      <c r="G139" s="8"/>
      <c r="H139" s="8"/>
      <c r="I139" s="12"/>
      <c r="J139" s="8"/>
      <c r="K139" s="8"/>
    </row>
    <row r="140" spans="1:11">
      <c r="A140" s="12"/>
      <c r="B140" s="8"/>
      <c r="C140" s="8"/>
      <c r="D140" s="8"/>
      <c r="E140" s="8"/>
      <c r="F140" s="8"/>
      <c r="G140" s="8"/>
      <c r="H140" s="8"/>
      <c r="I140" s="12"/>
      <c r="J140" s="8"/>
      <c r="K140" s="8"/>
    </row>
    <row r="141" spans="1:11">
      <c r="A141" s="12"/>
      <c r="B141" s="8"/>
      <c r="C141" s="8"/>
      <c r="D141" s="8"/>
      <c r="E141" s="8"/>
      <c r="F141" s="8"/>
      <c r="G141" s="8"/>
      <c r="H141" s="8"/>
      <c r="I141" s="12"/>
      <c r="J141" s="8"/>
      <c r="K141" s="8"/>
    </row>
    <row r="142" spans="1:11">
      <c r="A142" s="12"/>
      <c r="B142" s="8"/>
      <c r="C142" s="8"/>
      <c r="D142" s="8"/>
      <c r="E142" s="8"/>
      <c r="F142" s="8"/>
      <c r="G142" s="8"/>
      <c r="H142" s="8"/>
      <c r="I142" s="12"/>
      <c r="J142" s="8"/>
      <c r="K142" s="8"/>
    </row>
    <row r="143" spans="1:11">
      <c r="A143" s="12"/>
      <c r="B143" s="8"/>
      <c r="C143" s="8"/>
      <c r="D143" s="8"/>
      <c r="E143" s="8"/>
      <c r="F143" s="8"/>
      <c r="G143" s="8"/>
      <c r="H143" s="8"/>
      <c r="I143" s="12"/>
      <c r="J143" s="8"/>
      <c r="K143" s="8"/>
    </row>
    <row r="144" spans="1:11">
      <c r="A144" s="12"/>
      <c r="B144" s="8"/>
      <c r="C144" s="8"/>
      <c r="D144" s="8"/>
      <c r="E144" s="8"/>
      <c r="F144" s="8"/>
      <c r="G144" s="8"/>
      <c r="H144" s="8"/>
      <c r="I144" s="12"/>
      <c r="J144" s="8"/>
      <c r="K144" s="8"/>
    </row>
    <row r="145" spans="1:11">
      <c r="A145" s="12"/>
      <c r="B145" s="8"/>
      <c r="C145" s="8"/>
      <c r="D145" s="8"/>
      <c r="E145" s="8"/>
      <c r="F145" s="8"/>
      <c r="G145" s="8"/>
      <c r="H145" s="8"/>
      <c r="I145" s="12"/>
      <c r="J145" s="8"/>
      <c r="K145" s="8"/>
    </row>
    <row r="146" spans="1:11">
      <c r="A146" s="12"/>
      <c r="B146" s="8"/>
      <c r="C146" s="8"/>
      <c r="D146" s="8"/>
      <c r="E146" s="8"/>
      <c r="F146" s="8"/>
      <c r="G146" s="8"/>
      <c r="H146" s="8"/>
      <c r="I146" s="12"/>
      <c r="J146" s="8"/>
      <c r="K146" s="8"/>
    </row>
    <row r="147" spans="1:11">
      <c r="A147" s="12"/>
      <c r="B147" s="8"/>
      <c r="C147" s="8"/>
      <c r="D147" s="8"/>
      <c r="E147" s="8"/>
      <c r="F147" s="8"/>
      <c r="G147" s="8"/>
      <c r="H147" s="8"/>
      <c r="I147" s="12"/>
      <c r="J147" s="8"/>
      <c r="K147" s="8"/>
    </row>
    <row r="148" spans="1:11">
      <c r="A148" s="12"/>
      <c r="B148" s="8"/>
      <c r="C148" s="8"/>
      <c r="D148" s="8"/>
      <c r="E148" s="8"/>
      <c r="F148" s="8"/>
      <c r="G148" s="8"/>
      <c r="H148" s="8"/>
      <c r="I148" s="12"/>
      <c r="J148" s="8"/>
      <c r="K148" s="8"/>
    </row>
    <row r="149" spans="1:11">
      <c r="A149" s="12"/>
      <c r="B149" s="8"/>
      <c r="C149" s="8"/>
      <c r="D149" s="8"/>
      <c r="E149" s="8"/>
      <c r="F149" s="8"/>
      <c r="G149" s="8"/>
      <c r="H149" s="8"/>
      <c r="I149" s="12"/>
      <c r="J149" s="8"/>
      <c r="K149" s="8"/>
    </row>
    <row r="150" spans="1:11">
      <c r="A150" s="12"/>
      <c r="B150" s="8"/>
      <c r="C150" s="8"/>
      <c r="D150" s="8"/>
      <c r="E150" s="8"/>
      <c r="F150" s="8"/>
      <c r="G150" s="8"/>
      <c r="H150" s="8"/>
      <c r="I150" s="12"/>
      <c r="J150" s="8"/>
      <c r="K150" s="8"/>
    </row>
    <row r="151" spans="1:11">
      <c r="A151" s="12"/>
      <c r="B151" s="8"/>
      <c r="C151" s="8"/>
      <c r="D151" s="8"/>
      <c r="E151" s="8"/>
      <c r="F151" s="8"/>
      <c r="G151" s="8"/>
      <c r="H151" s="8"/>
      <c r="I151" s="12"/>
      <c r="J151" s="8"/>
      <c r="K151" s="8"/>
    </row>
    <row r="152" spans="1:11">
      <c r="A152" s="12"/>
      <c r="B152" s="8"/>
      <c r="C152" s="8"/>
      <c r="D152" s="8"/>
      <c r="E152" s="8"/>
      <c r="F152" s="8"/>
      <c r="G152" s="8"/>
      <c r="H152" s="8"/>
      <c r="I152" s="12"/>
      <c r="J152" s="8"/>
      <c r="K152" s="8"/>
    </row>
    <row r="153" spans="1:11">
      <c r="A153" s="12"/>
      <c r="B153" s="8"/>
      <c r="C153" s="8"/>
      <c r="D153" s="8"/>
      <c r="E153" s="8"/>
      <c r="F153" s="8"/>
      <c r="G153" s="8"/>
      <c r="H153" s="8"/>
      <c r="I153" s="12"/>
      <c r="J153" s="8"/>
      <c r="K153" s="8"/>
    </row>
    <row r="154" spans="1:11">
      <c r="A154" s="12"/>
      <c r="B154" s="8"/>
      <c r="C154" s="8"/>
      <c r="D154" s="8"/>
      <c r="E154" s="8"/>
      <c r="F154" s="8"/>
      <c r="G154" s="8"/>
      <c r="H154" s="8"/>
      <c r="I154" s="12"/>
      <c r="J154" s="8"/>
      <c r="K154" s="8"/>
    </row>
    <row r="155" spans="1:11">
      <c r="A155" s="12"/>
      <c r="B155" s="8"/>
      <c r="C155" s="8"/>
      <c r="D155" s="8"/>
      <c r="E155" s="8"/>
      <c r="F155" s="8"/>
      <c r="G155" s="8"/>
      <c r="H155" s="8"/>
      <c r="I155" s="12"/>
      <c r="J155" s="8"/>
      <c r="K155" s="8"/>
    </row>
    <row r="156" spans="1:11">
      <c r="A156" s="12"/>
      <c r="B156" s="8"/>
      <c r="C156" s="8"/>
      <c r="D156" s="8"/>
      <c r="E156" s="8"/>
      <c r="F156" s="8"/>
      <c r="G156" s="8"/>
      <c r="H156" s="8"/>
      <c r="I156" s="12"/>
      <c r="J156" s="8"/>
      <c r="K156" s="8"/>
    </row>
    <row r="157" spans="1:11">
      <c r="A157" s="12"/>
      <c r="B157" s="8"/>
      <c r="C157" s="8"/>
      <c r="D157" s="8"/>
      <c r="E157" s="8"/>
      <c r="F157" s="8"/>
      <c r="G157" s="8"/>
      <c r="H157" s="8"/>
      <c r="I157" s="12"/>
      <c r="J157" s="8"/>
      <c r="K157" s="8"/>
    </row>
    <row r="158" spans="1:11">
      <c r="A158" s="12"/>
      <c r="B158" s="8"/>
      <c r="C158" s="8"/>
      <c r="D158" s="8"/>
      <c r="E158" s="8"/>
      <c r="F158" s="8"/>
      <c r="G158" s="8"/>
      <c r="H158" s="8"/>
      <c r="I158" s="12"/>
      <c r="J158" s="8"/>
      <c r="K158" s="8"/>
    </row>
    <row r="159" spans="1:11">
      <c r="A159" s="12"/>
      <c r="B159" s="8"/>
      <c r="C159" s="8"/>
      <c r="D159" s="8"/>
      <c r="E159" s="8"/>
      <c r="F159" s="8"/>
      <c r="G159" s="8"/>
      <c r="H159" s="8"/>
      <c r="I159" s="12"/>
      <c r="J159" s="8"/>
      <c r="K159" s="8"/>
    </row>
    <row r="160" spans="1:11">
      <c r="A160" s="12"/>
      <c r="B160" s="8"/>
      <c r="C160" s="8"/>
      <c r="D160" s="8"/>
      <c r="E160" s="8"/>
      <c r="F160" s="8"/>
      <c r="G160" s="8"/>
      <c r="H160" s="8"/>
      <c r="I160" s="12"/>
      <c r="J160" s="8"/>
      <c r="K160" s="8"/>
    </row>
    <row r="161" spans="1:11">
      <c r="A161" s="12"/>
      <c r="B161" s="8"/>
      <c r="C161" s="8"/>
      <c r="D161" s="8"/>
      <c r="E161" s="8"/>
      <c r="F161" s="8"/>
      <c r="G161" s="8"/>
      <c r="H161" s="8"/>
      <c r="I161" s="12"/>
      <c r="J161" s="8"/>
      <c r="K161" s="8"/>
    </row>
    <row r="162" spans="1:11">
      <c r="A162" s="12"/>
      <c r="B162" s="8"/>
      <c r="C162" s="8"/>
      <c r="D162" s="8"/>
      <c r="E162" s="8"/>
      <c r="F162" s="8"/>
      <c r="G162" s="8"/>
      <c r="H162" s="8"/>
      <c r="I162" s="12"/>
      <c r="J162" s="8"/>
      <c r="K162" s="8"/>
    </row>
    <row r="163" spans="1:11">
      <c r="A163" s="12"/>
      <c r="B163" s="8"/>
      <c r="C163" s="8"/>
      <c r="D163" s="8"/>
      <c r="E163" s="8"/>
      <c r="F163" s="8"/>
      <c r="G163" s="8"/>
      <c r="H163" s="8"/>
      <c r="I163" s="12"/>
      <c r="J163" s="8"/>
      <c r="K163" s="8"/>
    </row>
    <row r="164" spans="1:11">
      <c r="A164" s="12"/>
      <c r="B164" s="8"/>
      <c r="C164" s="8"/>
      <c r="D164" s="8"/>
      <c r="E164" s="8"/>
      <c r="F164" s="8"/>
      <c r="G164" s="8"/>
      <c r="H164" s="8"/>
      <c r="I164" s="12"/>
      <c r="J164" s="8"/>
      <c r="K164" s="8"/>
    </row>
    <row r="165" spans="1:11">
      <c r="A165" s="12"/>
      <c r="B165" s="8"/>
      <c r="C165" s="8"/>
      <c r="D165" s="8"/>
      <c r="E165" s="8"/>
      <c r="F165" s="8"/>
      <c r="G165" s="8"/>
      <c r="H165" s="8"/>
      <c r="I165" s="12"/>
      <c r="J165" s="8"/>
      <c r="K165" s="8"/>
    </row>
    <row r="166" spans="1:11">
      <c r="A166" s="12"/>
      <c r="B166" s="8"/>
      <c r="C166" s="8"/>
      <c r="D166" s="8"/>
      <c r="E166" s="8"/>
      <c r="F166" s="8"/>
      <c r="G166" s="8"/>
      <c r="H166" s="8"/>
      <c r="I166" s="12"/>
      <c r="J166" s="8"/>
      <c r="K166" s="8"/>
    </row>
    <row r="167" spans="1:11">
      <c r="A167" s="12"/>
      <c r="B167" s="8"/>
      <c r="C167" s="8"/>
      <c r="D167" s="8"/>
      <c r="E167" s="8"/>
      <c r="F167" s="8"/>
      <c r="G167" s="8"/>
      <c r="H167" s="8"/>
      <c r="I167" s="12"/>
      <c r="J167" s="8"/>
      <c r="K167" s="8"/>
    </row>
    <row r="168" spans="1:11">
      <c r="A168" s="12"/>
      <c r="B168" s="8"/>
      <c r="C168" s="8"/>
      <c r="D168" s="8"/>
      <c r="E168" s="8"/>
      <c r="F168" s="8"/>
      <c r="G168" s="8"/>
      <c r="H168" s="8"/>
      <c r="I168" s="12"/>
      <c r="J168" s="8"/>
      <c r="K168" s="8"/>
    </row>
    <row r="169" spans="1:11">
      <c r="A169" s="12"/>
      <c r="B169" s="8"/>
      <c r="C169" s="8"/>
      <c r="D169" s="8"/>
      <c r="E169" s="8"/>
      <c r="F169" s="8"/>
      <c r="G169" s="8"/>
      <c r="H169" s="8"/>
      <c r="I169" s="12"/>
      <c r="J169" s="8"/>
      <c r="K169" s="8"/>
    </row>
    <row r="170" spans="1:11">
      <c r="A170" s="12"/>
      <c r="B170" s="8"/>
      <c r="C170" s="8"/>
      <c r="D170" s="8"/>
      <c r="E170" s="8"/>
      <c r="F170" s="8"/>
      <c r="G170" s="8"/>
      <c r="H170" s="8"/>
      <c r="I170" s="12"/>
      <c r="J170" s="8"/>
      <c r="K170" s="8"/>
    </row>
    <row r="171" spans="1:11">
      <c r="A171" s="12"/>
      <c r="B171" s="8"/>
      <c r="C171" s="8"/>
      <c r="D171" s="8"/>
      <c r="E171" s="8"/>
      <c r="F171" s="8"/>
      <c r="G171" s="8"/>
      <c r="H171" s="8"/>
      <c r="I171" s="12"/>
      <c r="J171" s="8"/>
      <c r="K171" s="8"/>
    </row>
    <row r="172" spans="1:11">
      <c r="A172" s="12"/>
      <c r="B172" s="8"/>
      <c r="C172" s="8"/>
      <c r="D172" s="8"/>
      <c r="E172" s="8"/>
      <c r="F172" s="8"/>
      <c r="G172" s="8"/>
      <c r="H172" s="8"/>
      <c r="I172" s="12"/>
      <c r="J172" s="8"/>
      <c r="K172" s="8"/>
    </row>
    <row r="173" spans="1:11">
      <c r="A173" s="12"/>
      <c r="B173" s="8"/>
      <c r="C173" s="8"/>
      <c r="D173" s="8"/>
      <c r="E173" s="8"/>
      <c r="F173" s="8"/>
      <c r="G173" s="8"/>
      <c r="H173" s="8"/>
      <c r="I173" s="12"/>
      <c r="J173" s="8"/>
      <c r="K173" s="8"/>
    </row>
    <row r="174" spans="1:11">
      <c r="A174" s="12"/>
      <c r="B174" s="8"/>
      <c r="C174" s="8"/>
      <c r="D174" s="8"/>
      <c r="E174" s="8"/>
      <c r="F174" s="8"/>
      <c r="G174" s="8"/>
      <c r="H174" s="8"/>
      <c r="I174" s="12"/>
      <c r="J174" s="8"/>
      <c r="K174" s="8"/>
    </row>
    <row r="175" spans="1:11">
      <c r="A175" s="12"/>
      <c r="B175" s="8"/>
      <c r="C175" s="8"/>
      <c r="D175" s="8"/>
      <c r="E175" s="8"/>
      <c r="F175" s="8"/>
      <c r="G175" s="8"/>
      <c r="H175" s="8"/>
      <c r="I175" s="12"/>
      <c r="J175" s="8"/>
      <c r="K175" s="8"/>
    </row>
    <row r="176" spans="1:11">
      <c r="A176" s="12"/>
      <c r="B176" s="8"/>
      <c r="C176" s="8"/>
      <c r="D176" s="8"/>
      <c r="E176" s="8"/>
      <c r="F176" s="8"/>
      <c r="G176" s="8"/>
      <c r="H176" s="8"/>
      <c r="I176" s="12"/>
      <c r="J176" s="8"/>
      <c r="K176" s="8"/>
    </row>
    <row r="177" spans="1:11">
      <c r="A177" s="12"/>
      <c r="B177" s="8"/>
      <c r="C177" s="8"/>
      <c r="D177" s="8"/>
      <c r="E177" s="8"/>
      <c r="F177" s="8"/>
      <c r="G177" s="8"/>
      <c r="H177" s="8"/>
      <c r="I177" s="12"/>
      <c r="J177" s="8"/>
      <c r="K177" s="8"/>
    </row>
    <row r="178" spans="1:11">
      <c r="A178" s="12"/>
      <c r="B178" s="8"/>
      <c r="C178" s="8"/>
      <c r="D178" s="8"/>
      <c r="E178" s="8"/>
      <c r="F178" s="8"/>
      <c r="G178" s="8"/>
      <c r="H178" s="8"/>
      <c r="I178" s="12"/>
      <c r="J178" s="8"/>
      <c r="K178" s="8"/>
    </row>
    <row r="179" spans="1:11">
      <c r="A179" s="12"/>
      <c r="B179" s="8"/>
      <c r="C179" s="8"/>
      <c r="D179" s="8"/>
      <c r="E179" s="8"/>
      <c r="F179" s="8"/>
      <c r="G179" s="8"/>
      <c r="H179" s="8"/>
      <c r="I179" s="12"/>
      <c r="J179" s="8"/>
      <c r="K179" s="8"/>
    </row>
    <row r="180" spans="1:11">
      <c r="A180" s="12"/>
      <c r="B180" s="8"/>
      <c r="C180" s="8"/>
      <c r="D180" s="8"/>
      <c r="E180" s="8"/>
      <c r="F180" s="8"/>
      <c r="G180" s="8"/>
      <c r="H180" s="8"/>
      <c r="I180" s="12"/>
      <c r="J180" s="8"/>
      <c r="K180" s="8"/>
    </row>
    <row r="181" spans="1:11">
      <c r="A181" s="12"/>
      <c r="B181" s="8"/>
      <c r="C181" s="8"/>
      <c r="D181" s="8"/>
      <c r="E181" s="8"/>
      <c r="F181" s="8"/>
      <c r="G181" s="8"/>
      <c r="H181" s="8"/>
      <c r="I181" s="12"/>
      <c r="J181" s="8"/>
      <c r="K181" s="8"/>
    </row>
    <row r="182" spans="1:11">
      <c r="A182" s="12"/>
      <c r="B182" s="8"/>
      <c r="C182" s="8"/>
      <c r="D182" s="8"/>
      <c r="E182" s="8"/>
      <c r="F182" s="8"/>
      <c r="G182" s="8"/>
      <c r="H182" s="8"/>
      <c r="I182" s="12"/>
      <c r="J182" s="8"/>
      <c r="K182" s="8"/>
    </row>
    <row r="183" spans="1:11">
      <c r="A183" s="12"/>
      <c r="B183" s="8"/>
      <c r="C183" s="8"/>
      <c r="D183" s="8"/>
      <c r="E183" s="8"/>
      <c r="F183" s="8"/>
      <c r="G183" s="8"/>
      <c r="H183" s="8"/>
      <c r="I183" s="12"/>
      <c r="J183" s="8"/>
      <c r="K183" s="8"/>
    </row>
    <row r="184" spans="1:11">
      <c r="A184" s="12"/>
      <c r="B184" s="8"/>
      <c r="C184" s="8"/>
      <c r="D184" s="8"/>
      <c r="E184" s="8"/>
      <c r="F184" s="8"/>
      <c r="G184" s="8"/>
      <c r="H184" s="8"/>
      <c r="I184" s="12"/>
      <c r="J184" s="8"/>
      <c r="K184" s="8"/>
    </row>
    <row r="185" spans="1:11">
      <c r="A185" s="12"/>
      <c r="B185" s="8"/>
      <c r="C185" s="8"/>
      <c r="D185" s="8"/>
      <c r="E185" s="8"/>
      <c r="F185" s="8"/>
      <c r="G185" s="8"/>
      <c r="H185" s="8"/>
      <c r="I185" s="12"/>
      <c r="J185" s="8"/>
      <c r="K185" s="8"/>
    </row>
    <row r="186" spans="1:11">
      <c r="A186" s="12"/>
      <c r="B186" s="8"/>
      <c r="C186" s="8"/>
      <c r="D186" s="8"/>
      <c r="E186" s="8"/>
      <c r="F186" s="8"/>
      <c r="G186" s="8"/>
      <c r="H186" s="8"/>
      <c r="I186" s="12"/>
      <c r="J186" s="8"/>
      <c r="K186" s="8"/>
    </row>
    <row r="187" spans="1:11">
      <c r="A187" s="12"/>
      <c r="B187" s="8"/>
      <c r="C187" s="8"/>
      <c r="D187" s="8"/>
      <c r="E187" s="8"/>
      <c r="F187" s="8"/>
      <c r="G187" s="8"/>
      <c r="H187" s="8"/>
      <c r="I187" s="12"/>
      <c r="J187" s="8"/>
      <c r="K187" s="8"/>
    </row>
    <row r="188" spans="1:11">
      <c r="A188" s="12"/>
      <c r="B188" s="8"/>
      <c r="C188" s="8"/>
      <c r="D188" s="8"/>
      <c r="E188" s="8"/>
      <c r="F188" s="8"/>
      <c r="G188" s="8"/>
      <c r="H188" s="8"/>
      <c r="I188" s="12"/>
      <c r="J188" s="8"/>
      <c r="K188" s="8"/>
    </row>
    <row r="189" spans="1:11">
      <c r="A189" s="12"/>
      <c r="B189" s="8"/>
      <c r="C189" s="8"/>
      <c r="D189" s="8"/>
      <c r="E189" s="8"/>
      <c r="F189" s="8"/>
      <c r="G189" s="8"/>
      <c r="H189" s="8"/>
      <c r="I189" s="12"/>
      <c r="J189" s="8"/>
      <c r="K189" s="8"/>
    </row>
    <row r="190" spans="1:11">
      <c r="A190" s="12"/>
      <c r="B190" s="8"/>
      <c r="C190" s="8"/>
      <c r="D190" s="8"/>
      <c r="E190" s="8"/>
      <c r="F190" s="8"/>
      <c r="G190" s="8"/>
      <c r="H190" s="8"/>
      <c r="I190" s="12"/>
      <c r="J190" s="8"/>
      <c r="K190" s="8"/>
    </row>
    <row r="191" spans="1:11">
      <c r="A191" s="12"/>
      <c r="B191" s="8"/>
      <c r="C191" s="8"/>
      <c r="D191" s="8"/>
      <c r="E191" s="8"/>
      <c r="F191" s="8"/>
      <c r="G191" s="8"/>
      <c r="H191" s="8"/>
      <c r="I191" s="12"/>
      <c r="J191" s="8"/>
      <c r="K191" s="8"/>
    </row>
    <row r="192" spans="1:11">
      <c r="A192" s="12"/>
      <c r="B192" s="8"/>
      <c r="C192" s="8"/>
      <c r="D192" s="8"/>
      <c r="E192" s="8"/>
      <c r="F192" s="8"/>
      <c r="G192" s="8"/>
      <c r="H192" s="8"/>
      <c r="I192" s="12"/>
      <c r="J192" s="8"/>
      <c r="K192" s="8"/>
    </row>
    <row r="193" spans="1:11">
      <c r="A193" s="12"/>
      <c r="B193" s="8"/>
      <c r="C193" s="8"/>
      <c r="D193" s="8"/>
      <c r="E193" s="8"/>
      <c r="F193" s="8"/>
      <c r="G193" s="8"/>
      <c r="H193" s="8"/>
      <c r="I193" s="12"/>
      <c r="J193" s="8"/>
      <c r="K193" s="8"/>
    </row>
    <row r="194" spans="1:11">
      <c r="A194" s="12"/>
      <c r="B194" s="8"/>
      <c r="C194" s="8"/>
      <c r="D194" s="8"/>
      <c r="E194" s="8"/>
      <c r="F194" s="8"/>
      <c r="G194" s="8"/>
      <c r="H194" s="8"/>
      <c r="I194" s="12"/>
      <c r="J194" s="8"/>
      <c r="K194" s="8"/>
    </row>
    <row r="195" spans="1:11">
      <c r="A195" s="12"/>
      <c r="B195" s="8"/>
      <c r="C195" s="8"/>
      <c r="D195" s="8"/>
      <c r="E195" s="8"/>
      <c r="F195" s="8"/>
      <c r="G195" s="8"/>
      <c r="H195" s="8"/>
      <c r="I195" s="12"/>
      <c r="J195" s="8"/>
      <c r="K195" s="8"/>
    </row>
    <row r="196" spans="1:11">
      <c r="A196" s="12"/>
      <c r="B196" s="8"/>
      <c r="C196" s="8"/>
      <c r="D196" s="8"/>
      <c r="E196" s="8"/>
      <c r="F196" s="8"/>
      <c r="G196" s="8"/>
      <c r="H196" s="8"/>
      <c r="I196" s="12"/>
      <c r="J196" s="8"/>
      <c r="K196" s="8"/>
    </row>
    <row r="197" spans="1:11">
      <c r="A197" s="12"/>
      <c r="B197" s="8"/>
      <c r="C197" s="8"/>
      <c r="D197" s="8"/>
      <c r="E197" s="8"/>
      <c r="F197" s="8"/>
      <c r="G197" s="8"/>
      <c r="H197" s="8"/>
      <c r="I197" s="12"/>
      <c r="J197" s="8"/>
      <c r="K197" s="8"/>
    </row>
    <row r="198" spans="1:11">
      <c r="A198" s="12"/>
      <c r="B198" s="8"/>
      <c r="C198" s="8"/>
      <c r="D198" s="8"/>
      <c r="E198" s="8"/>
      <c r="F198" s="8"/>
      <c r="G198" s="8"/>
      <c r="H198" s="8"/>
      <c r="I198" s="12"/>
      <c r="J198" s="8"/>
      <c r="K198" s="8"/>
    </row>
    <row r="199" spans="1:11">
      <c r="A199" s="12"/>
      <c r="B199" s="8"/>
      <c r="C199" s="8"/>
      <c r="D199" s="8"/>
      <c r="E199" s="8"/>
      <c r="F199" s="8"/>
      <c r="G199" s="8"/>
      <c r="H199" s="8"/>
      <c r="I199" s="12"/>
      <c r="J199" s="8"/>
      <c r="K199" s="8"/>
    </row>
    <row r="200" spans="1:11">
      <c r="A200" s="12"/>
      <c r="B200" s="8"/>
      <c r="C200" s="8"/>
      <c r="D200" s="8"/>
      <c r="E200" s="8"/>
      <c r="F200" s="8"/>
      <c r="G200" s="8"/>
      <c r="H200" s="8"/>
      <c r="I200" s="12"/>
      <c r="J200" s="8"/>
      <c r="K200" s="8"/>
    </row>
    <row r="201" spans="1:11">
      <c r="A201" s="12"/>
      <c r="B201" s="8"/>
      <c r="C201" s="8"/>
      <c r="D201" s="8"/>
      <c r="E201" s="8"/>
      <c r="F201" s="8"/>
      <c r="G201" s="8"/>
      <c r="H201" s="8"/>
      <c r="I201" s="12"/>
      <c r="J201" s="8"/>
      <c r="K201" s="8"/>
    </row>
    <row r="202" spans="1:11">
      <c r="A202" s="12"/>
      <c r="B202" s="8"/>
      <c r="C202" s="8"/>
      <c r="D202" s="8"/>
      <c r="E202" s="8"/>
      <c r="F202" s="8"/>
      <c r="G202" s="8"/>
      <c r="H202" s="8"/>
      <c r="I202" s="12"/>
      <c r="J202" s="8"/>
      <c r="K202" s="8"/>
    </row>
    <row r="203" spans="1:11">
      <c r="A203" s="12"/>
      <c r="B203" s="8"/>
      <c r="C203" s="8"/>
      <c r="D203" s="8"/>
      <c r="E203" s="8"/>
      <c r="F203" s="8"/>
      <c r="G203" s="8"/>
      <c r="H203" s="8"/>
      <c r="I203" s="12"/>
      <c r="J203" s="8"/>
      <c r="K203" s="8"/>
    </row>
    <row r="204" spans="1:11">
      <c r="A204" s="12"/>
      <c r="B204" s="8"/>
      <c r="C204" s="8"/>
      <c r="D204" s="8"/>
      <c r="E204" s="8"/>
      <c r="F204" s="8"/>
      <c r="G204" s="8"/>
      <c r="H204" s="8"/>
      <c r="I204" s="12"/>
      <c r="J204" s="8"/>
      <c r="K204" s="8"/>
    </row>
    <row r="205" spans="1:11">
      <c r="A205" s="12"/>
      <c r="B205" s="8"/>
      <c r="C205" s="8"/>
      <c r="D205" s="8"/>
      <c r="E205" s="8"/>
      <c r="F205" s="8"/>
      <c r="G205" s="8"/>
      <c r="H205" s="8"/>
      <c r="I205" s="12"/>
      <c r="J205" s="8"/>
      <c r="K205" s="8"/>
    </row>
    <row r="206" spans="1:11">
      <c r="A206" s="12"/>
      <c r="B206" s="8"/>
      <c r="C206" s="8"/>
      <c r="D206" s="8"/>
      <c r="E206" s="8"/>
      <c r="F206" s="8"/>
      <c r="G206" s="8"/>
      <c r="H206" s="8"/>
      <c r="I206" s="12"/>
      <c r="J206" s="8"/>
      <c r="K206" s="8"/>
    </row>
    <row r="207" spans="1:11">
      <c r="A207" s="12"/>
      <c r="B207" s="8"/>
      <c r="C207" s="8"/>
      <c r="D207" s="8"/>
      <c r="E207" s="8"/>
      <c r="F207" s="8"/>
      <c r="G207" s="8"/>
      <c r="H207" s="8"/>
      <c r="I207" s="12"/>
      <c r="J207" s="8"/>
      <c r="K207" s="8"/>
    </row>
    <row r="208" spans="1:11">
      <c r="A208" s="12"/>
      <c r="B208" s="8"/>
      <c r="C208" s="8"/>
      <c r="D208" s="8"/>
      <c r="E208" s="8"/>
      <c r="F208" s="8"/>
      <c r="G208" s="8"/>
      <c r="H208" s="8"/>
      <c r="I208" s="12"/>
      <c r="J208" s="8"/>
      <c r="K208" s="8"/>
    </row>
    <row r="209" spans="1:11">
      <c r="A209" s="12"/>
      <c r="B209" s="8"/>
      <c r="C209" s="8"/>
      <c r="D209" s="8"/>
      <c r="E209" s="8"/>
      <c r="F209" s="8"/>
      <c r="G209" s="8"/>
      <c r="H209" s="8"/>
      <c r="I209" s="12"/>
      <c r="J209" s="8"/>
      <c r="K209" s="8"/>
    </row>
    <row r="210" spans="1:11">
      <c r="A210" s="12"/>
      <c r="B210" s="8"/>
      <c r="C210" s="8"/>
      <c r="D210" s="8"/>
      <c r="E210" s="8"/>
      <c r="F210" s="8"/>
      <c r="G210" s="8"/>
      <c r="H210" s="8"/>
      <c r="I210" s="12"/>
      <c r="J210" s="8"/>
      <c r="K210" s="8"/>
    </row>
    <row r="211" spans="1:11">
      <c r="A211" s="12"/>
      <c r="B211" s="8"/>
      <c r="C211" s="8"/>
      <c r="D211" s="8"/>
      <c r="E211" s="8"/>
      <c r="F211" s="8"/>
      <c r="G211" s="8"/>
      <c r="H211" s="8"/>
      <c r="I211" s="12"/>
      <c r="J211" s="8"/>
      <c r="K211" s="8"/>
    </row>
    <row r="212" spans="1:11">
      <c r="A212" s="12"/>
      <c r="B212" s="8"/>
      <c r="C212" s="8"/>
      <c r="D212" s="8"/>
      <c r="E212" s="8"/>
      <c r="F212" s="8"/>
      <c r="G212" s="8"/>
      <c r="H212" s="8"/>
      <c r="I212" s="12"/>
      <c r="J212" s="8"/>
      <c r="K212" s="8"/>
    </row>
    <row r="213" spans="1:11">
      <c r="A213" s="12"/>
      <c r="B213" s="8"/>
      <c r="C213" s="8"/>
      <c r="D213" s="8"/>
      <c r="E213" s="8"/>
      <c r="F213" s="8"/>
      <c r="G213" s="8"/>
      <c r="H213" s="8"/>
      <c r="I213" s="12"/>
      <c r="J213" s="8"/>
      <c r="K213" s="8"/>
    </row>
    <row r="214" spans="1:11">
      <c r="A214" s="12"/>
      <c r="B214" s="8"/>
      <c r="C214" s="8"/>
      <c r="D214" s="8"/>
      <c r="E214" s="8"/>
      <c r="F214" s="8"/>
      <c r="G214" s="8"/>
      <c r="H214" s="8"/>
      <c r="I214" s="12"/>
      <c r="J214" s="8"/>
      <c r="K214" s="8"/>
    </row>
    <row r="215" spans="1:11">
      <c r="A215" s="12"/>
      <c r="B215" s="8"/>
      <c r="C215" s="8"/>
      <c r="D215" s="8"/>
      <c r="E215" s="8"/>
      <c r="F215" s="8"/>
      <c r="G215" s="8"/>
      <c r="H215" s="8"/>
      <c r="I215" s="12"/>
      <c r="J215" s="8"/>
      <c r="K215" s="8"/>
    </row>
    <row r="216" spans="1:11">
      <c r="A216" s="12"/>
      <c r="B216" s="8"/>
      <c r="C216" s="8"/>
      <c r="D216" s="8"/>
      <c r="E216" s="8"/>
      <c r="F216" s="8"/>
      <c r="G216" s="8"/>
      <c r="H216" s="8"/>
      <c r="I216" s="12"/>
      <c r="J216" s="8"/>
      <c r="K216" s="8"/>
    </row>
    <row r="217" spans="1:11">
      <c r="A217" s="12"/>
      <c r="B217" s="8"/>
      <c r="C217" s="8"/>
      <c r="D217" s="8"/>
      <c r="E217" s="8"/>
      <c r="F217" s="8"/>
      <c r="G217" s="8"/>
      <c r="H217" s="8"/>
      <c r="I217" s="12"/>
      <c r="J217" s="8"/>
      <c r="K217" s="8"/>
    </row>
    <row r="218" spans="1:11">
      <c r="A218" s="12"/>
      <c r="B218" s="8"/>
      <c r="C218" s="8"/>
      <c r="D218" s="8"/>
      <c r="E218" s="8"/>
      <c r="F218" s="8"/>
      <c r="G218" s="8"/>
      <c r="H218" s="8"/>
      <c r="I218" s="12"/>
      <c r="J218" s="8"/>
      <c r="K218" s="8"/>
    </row>
    <row r="219" spans="1:11">
      <c r="A219" s="12"/>
      <c r="B219" s="8"/>
      <c r="C219" s="8"/>
      <c r="D219" s="8"/>
      <c r="E219" s="8"/>
      <c r="F219" s="8"/>
      <c r="G219" s="8"/>
      <c r="H219" s="8"/>
      <c r="I219" s="12"/>
      <c r="J219" s="8"/>
      <c r="K219" s="8"/>
    </row>
    <row r="220" spans="1:11">
      <c r="A220" s="12"/>
      <c r="B220" s="8"/>
      <c r="C220" s="8"/>
      <c r="D220" s="8"/>
      <c r="E220" s="8"/>
      <c r="F220" s="8"/>
      <c r="G220" s="8"/>
      <c r="H220" s="8"/>
      <c r="I220" s="12"/>
      <c r="J220" s="8"/>
      <c r="K220" s="8"/>
    </row>
    <row r="221" spans="1:11">
      <c r="A221" s="12"/>
      <c r="B221" s="8"/>
      <c r="C221" s="8"/>
      <c r="D221" s="8"/>
      <c r="E221" s="8"/>
      <c r="F221" s="8"/>
      <c r="G221" s="8"/>
      <c r="H221" s="8"/>
      <c r="I221" s="12"/>
      <c r="J221" s="8"/>
      <c r="K221" s="8"/>
    </row>
    <row r="222" spans="1:11">
      <c r="A222" s="12"/>
      <c r="B222" s="8"/>
      <c r="C222" s="8"/>
      <c r="D222" s="8"/>
      <c r="E222" s="8"/>
      <c r="F222" s="8"/>
      <c r="G222" s="8"/>
      <c r="H222" s="8"/>
      <c r="I222" s="12"/>
      <c r="J222" s="8"/>
      <c r="K222" s="8"/>
    </row>
    <row r="223" spans="1:11">
      <c r="A223" s="12"/>
      <c r="B223" s="8"/>
      <c r="C223" s="8"/>
      <c r="D223" s="8"/>
      <c r="E223" s="8"/>
      <c r="F223" s="8"/>
      <c r="G223" s="8"/>
      <c r="H223" s="8"/>
      <c r="I223" s="12"/>
      <c r="J223" s="8"/>
      <c r="K223" s="8"/>
    </row>
    <row r="224" spans="1:11">
      <c r="A224" s="12"/>
      <c r="B224" s="8"/>
      <c r="C224" s="8"/>
      <c r="D224" s="8"/>
      <c r="E224" s="8"/>
      <c r="F224" s="8"/>
      <c r="G224" s="8"/>
      <c r="H224" s="8"/>
      <c r="I224" s="12"/>
      <c r="J224" s="8"/>
      <c r="K224" s="8"/>
    </row>
    <row r="225" spans="1:11">
      <c r="A225" s="12"/>
      <c r="B225" s="8"/>
      <c r="C225" s="8"/>
      <c r="D225" s="8"/>
      <c r="E225" s="8"/>
      <c r="F225" s="8"/>
      <c r="G225" s="8"/>
      <c r="H225" s="8"/>
      <c r="I225" s="12"/>
      <c r="J225" s="8"/>
      <c r="K225" s="8"/>
    </row>
    <row r="226" spans="1:11">
      <c r="A226" s="12"/>
      <c r="B226" s="8"/>
      <c r="C226" s="8"/>
      <c r="D226" s="8"/>
      <c r="E226" s="8"/>
      <c r="F226" s="8"/>
      <c r="G226" s="8"/>
      <c r="H226" s="8"/>
      <c r="I226" s="12"/>
      <c r="J226" s="8"/>
      <c r="K226" s="8"/>
    </row>
    <row r="227" spans="1:11">
      <c r="A227" s="12"/>
      <c r="B227" s="8"/>
      <c r="C227" s="8"/>
      <c r="D227" s="8"/>
      <c r="E227" s="8"/>
      <c r="F227" s="8"/>
      <c r="G227" s="8"/>
      <c r="H227" s="8"/>
      <c r="I227" s="12"/>
      <c r="J227" s="8"/>
      <c r="K227" s="8"/>
    </row>
    <row r="228" spans="1:11">
      <c r="A228" s="12"/>
      <c r="B228" s="8"/>
      <c r="C228" s="8"/>
      <c r="D228" s="8"/>
      <c r="E228" s="8"/>
      <c r="F228" s="8"/>
      <c r="G228" s="8"/>
      <c r="H228" s="8"/>
      <c r="I228" s="12"/>
      <c r="J228" s="8"/>
      <c r="K228" s="8"/>
    </row>
    <row r="229" spans="1:11">
      <c r="A229" s="12"/>
      <c r="B229" s="8"/>
      <c r="C229" s="8"/>
      <c r="D229" s="8"/>
      <c r="E229" s="8"/>
      <c r="F229" s="8"/>
      <c r="G229" s="8"/>
      <c r="H229" s="8"/>
      <c r="I229" s="12"/>
      <c r="J229" s="8"/>
      <c r="K229" s="8"/>
    </row>
    <row r="230" spans="1:11">
      <c r="A230" s="12"/>
      <c r="B230" s="8"/>
      <c r="C230" s="8"/>
      <c r="D230" s="8"/>
      <c r="E230" s="8"/>
      <c r="F230" s="8"/>
      <c r="G230" s="8"/>
      <c r="H230" s="8"/>
      <c r="I230" s="12"/>
      <c r="J230" s="8"/>
      <c r="K230" s="8"/>
    </row>
    <row r="231" spans="1:11">
      <c r="A231" s="12"/>
      <c r="B231" s="8"/>
      <c r="C231" s="8"/>
      <c r="D231" s="8"/>
      <c r="E231" s="8"/>
      <c r="F231" s="8"/>
      <c r="G231" s="8"/>
      <c r="H231" s="8"/>
      <c r="I231" s="12"/>
      <c r="J231" s="8"/>
      <c r="K231" s="8"/>
    </row>
    <row r="232" spans="1:11">
      <c r="A232" s="12"/>
      <c r="B232" s="8"/>
      <c r="C232" s="8"/>
      <c r="D232" s="8"/>
      <c r="E232" s="8"/>
      <c r="F232" s="8"/>
      <c r="G232" s="8"/>
      <c r="H232" s="8"/>
      <c r="I232" s="12"/>
      <c r="J232" s="8"/>
      <c r="K232" s="8"/>
    </row>
    <row r="233" spans="1:11">
      <c r="A233" s="12"/>
      <c r="B233" s="8"/>
      <c r="C233" s="8"/>
      <c r="D233" s="8"/>
      <c r="E233" s="8"/>
      <c r="F233" s="8"/>
      <c r="G233" s="8"/>
      <c r="H233" s="8"/>
      <c r="I233" s="12"/>
      <c r="J233" s="8"/>
      <c r="K233" s="8"/>
    </row>
    <row r="234" spans="1:11">
      <c r="A234" s="12"/>
      <c r="B234" s="8"/>
      <c r="C234" s="8"/>
      <c r="D234" s="8"/>
      <c r="E234" s="8"/>
      <c r="F234" s="8"/>
      <c r="G234" s="8"/>
      <c r="H234" s="8"/>
      <c r="I234" s="12"/>
      <c r="J234" s="8"/>
      <c r="K234" s="8"/>
    </row>
    <row r="235" spans="1:11">
      <c r="A235" s="12"/>
      <c r="B235" s="8"/>
      <c r="C235" s="8"/>
      <c r="D235" s="8"/>
      <c r="E235" s="8"/>
      <c r="F235" s="8"/>
      <c r="G235" s="8"/>
      <c r="H235" s="8"/>
      <c r="I235" s="12"/>
      <c r="J235" s="8"/>
      <c r="K235" s="8"/>
    </row>
    <row r="236" spans="1:11">
      <c r="A236" s="12"/>
      <c r="B236" s="8"/>
      <c r="C236" s="8"/>
      <c r="D236" s="8"/>
      <c r="E236" s="8"/>
      <c r="F236" s="8"/>
      <c r="G236" s="8"/>
      <c r="H236" s="8"/>
      <c r="I236" s="12"/>
      <c r="J236" s="8"/>
      <c r="K236" s="8"/>
    </row>
    <row r="237" spans="1:11">
      <c r="A237" s="12"/>
      <c r="B237" s="8"/>
      <c r="C237" s="8"/>
      <c r="D237" s="8"/>
      <c r="E237" s="8"/>
      <c r="F237" s="8"/>
      <c r="G237" s="8"/>
      <c r="H237" s="8"/>
      <c r="I237" s="12"/>
      <c r="J237" s="8"/>
      <c r="K237" s="8"/>
    </row>
    <row r="238" spans="1:11">
      <c r="A238" s="12"/>
      <c r="B238" s="8"/>
      <c r="C238" s="8"/>
      <c r="D238" s="8"/>
      <c r="E238" s="8"/>
      <c r="F238" s="8"/>
      <c r="G238" s="8"/>
      <c r="H238" s="8"/>
      <c r="I238" s="12"/>
      <c r="J238" s="8"/>
      <c r="K238" s="8"/>
    </row>
    <row r="239" spans="1:11">
      <c r="A239" s="12"/>
      <c r="B239" s="8"/>
      <c r="C239" s="8"/>
      <c r="D239" s="8"/>
      <c r="E239" s="8"/>
      <c r="F239" s="8"/>
      <c r="G239" s="8"/>
      <c r="H239" s="8"/>
      <c r="I239" s="12"/>
      <c r="J239" s="8"/>
      <c r="K239" s="8"/>
    </row>
    <row r="240" spans="1:11">
      <c r="A240" s="12"/>
      <c r="B240" s="8"/>
      <c r="C240" s="8"/>
      <c r="D240" s="8"/>
      <c r="E240" s="8"/>
      <c r="F240" s="8"/>
      <c r="G240" s="8"/>
      <c r="H240" s="8"/>
      <c r="I240" s="12"/>
      <c r="J240" s="8"/>
      <c r="K240" s="8"/>
    </row>
    <row r="241" spans="1:11">
      <c r="A241" s="12"/>
      <c r="B241" s="8"/>
      <c r="C241" s="8"/>
      <c r="D241" s="8"/>
      <c r="E241" s="8"/>
      <c r="F241" s="8"/>
      <c r="G241" s="8"/>
      <c r="H241" s="8"/>
      <c r="I241" s="12"/>
      <c r="J241" s="8"/>
      <c r="K241" s="8"/>
    </row>
    <row r="242" spans="1:11">
      <c r="A242" s="12"/>
      <c r="B242" s="8"/>
      <c r="C242" s="8"/>
      <c r="D242" s="8"/>
      <c r="E242" s="8"/>
      <c r="F242" s="8"/>
      <c r="G242" s="8"/>
      <c r="H242" s="8"/>
      <c r="I242" s="12"/>
      <c r="J242" s="8"/>
      <c r="K242" s="8"/>
    </row>
    <row r="243" spans="1:11">
      <c r="A243" s="12"/>
      <c r="B243" s="8"/>
      <c r="C243" s="8"/>
      <c r="D243" s="8"/>
      <c r="E243" s="8"/>
      <c r="F243" s="8"/>
      <c r="G243" s="8"/>
      <c r="H243" s="8"/>
      <c r="I243" s="12"/>
      <c r="J243" s="8"/>
      <c r="K243" s="8"/>
    </row>
    <row r="244" spans="1:11">
      <c r="A244" s="12"/>
      <c r="B244" s="8"/>
      <c r="C244" s="8"/>
      <c r="D244" s="8"/>
      <c r="E244" s="8"/>
      <c r="F244" s="8"/>
      <c r="G244" s="8"/>
      <c r="H244" s="8"/>
      <c r="I244" s="12"/>
      <c r="J244" s="8"/>
      <c r="K244" s="8"/>
    </row>
    <row r="245" spans="1:11">
      <c r="A245" s="12"/>
      <c r="B245" s="8"/>
      <c r="C245" s="8"/>
      <c r="D245" s="8"/>
      <c r="E245" s="8"/>
      <c r="F245" s="8"/>
      <c r="G245" s="8"/>
      <c r="H245" s="8"/>
      <c r="I245" s="12"/>
      <c r="J245" s="8"/>
      <c r="K245" s="8"/>
    </row>
    <row r="246" spans="1:11">
      <c r="A246" s="12"/>
      <c r="B246" s="8"/>
      <c r="C246" s="8"/>
      <c r="D246" s="8"/>
      <c r="E246" s="8"/>
      <c r="F246" s="8"/>
      <c r="G246" s="8"/>
      <c r="H246" s="8"/>
      <c r="I246" s="12"/>
      <c r="J246" s="8"/>
      <c r="K246" s="8"/>
    </row>
    <row r="247" spans="1:11">
      <c r="A247" s="12"/>
      <c r="B247" s="8"/>
      <c r="C247" s="8"/>
      <c r="D247" s="8"/>
      <c r="E247" s="8"/>
      <c r="F247" s="8"/>
      <c r="G247" s="8"/>
      <c r="H247" s="8"/>
      <c r="I247" s="12"/>
      <c r="J247" s="8"/>
      <c r="K247" s="8"/>
    </row>
    <row r="248" spans="1:11">
      <c r="A248" s="12"/>
      <c r="B248" s="8"/>
      <c r="C248" s="8"/>
      <c r="D248" s="8"/>
      <c r="E248" s="8"/>
      <c r="F248" s="8"/>
      <c r="G248" s="8"/>
      <c r="H248" s="8"/>
      <c r="I248" s="12"/>
      <c r="J248" s="8"/>
      <c r="K248" s="8"/>
    </row>
    <row r="249" spans="1:11">
      <c r="A249" s="12"/>
      <c r="B249" s="8"/>
      <c r="C249" s="8"/>
      <c r="D249" s="8"/>
      <c r="E249" s="8"/>
      <c r="F249" s="8"/>
      <c r="G249" s="8"/>
      <c r="H249" s="8"/>
      <c r="I249" s="12"/>
      <c r="J249" s="8"/>
      <c r="K249" s="8"/>
    </row>
    <row r="250" spans="1:11">
      <c r="A250" s="12"/>
      <c r="B250" s="8"/>
      <c r="C250" s="8"/>
      <c r="D250" s="8"/>
      <c r="E250" s="8"/>
      <c r="F250" s="8"/>
      <c r="G250" s="8"/>
      <c r="H250" s="8"/>
      <c r="I250" s="12"/>
      <c r="J250" s="8"/>
      <c r="K250" s="8"/>
    </row>
    <row r="251" spans="1:11">
      <c r="A251" s="12"/>
      <c r="B251" s="8"/>
      <c r="C251" s="8"/>
      <c r="D251" s="8"/>
      <c r="E251" s="8"/>
      <c r="F251" s="8"/>
      <c r="G251" s="8"/>
      <c r="H251" s="8"/>
      <c r="I251" s="12"/>
      <c r="J251" s="8"/>
      <c r="K251" s="8"/>
    </row>
    <row r="252" spans="1:11">
      <c r="A252" s="12"/>
      <c r="B252" s="8"/>
      <c r="C252" s="8"/>
      <c r="D252" s="8"/>
      <c r="E252" s="8"/>
      <c r="F252" s="8"/>
      <c r="G252" s="8"/>
      <c r="H252" s="8"/>
      <c r="I252" s="12"/>
      <c r="J252" s="8"/>
      <c r="K252" s="8"/>
    </row>
    <row r="253" spans="1:11">
      <c r="A253" s="12"/>
      <c r="B253" s="8"/>
      <c r="C253" s="8"/>
      <c r="D253" s="8"/>
      <c r="E253" s="8"/>
      <c r="F253" s="8"/>
      <c r="G253" s="8"/>
      <c r="H253" s="8"/>
      <c r="I253" s="12"/>
      <c r="J253" s="8"/>
      <c r="K253" s="8"/>
    </row>
    <row r="254" spans="1:11">
      <c r="A254" s="12"/>
      <c r="B254" s="8"/>
      <c r="C254" s="8"/>
      <c r="D254" s="8"/>
      <c r="E254" s="8"/>
      <c r="F254" s="8"/>
      <c r="G254" s="8"/>
      <c r="H254" s="8"/>
      <c r="I254" s="12"/>
      <c r="J254" s="8"/>
      <c r="K254" s="8"/>
    </row>
    <row r="255" spans="1:11">
      <c r="A255" s="12"/>
      <c r="B255" s="8"/>
      <c r="C255" s="8"/>
      <c r="D255" s="8"/>
      <c r="E255" s="8"/>
      <c r="F255" s="8"/>
      <c r="G255" s="8"/>
      <c r="H255" s="8"/>
      <c r="I255" s="12"/>
      <c r="J255" s="8"/>
      <c r="K255" s="8"/>
    </row>
    <row r="256" spans="1:11">
      <c r="A256" s="12"/>
      <c r="B256" s="8"/>
      <c r="C256" s="8"/>
      <c r="D256" s="8"/>
      <c r="E256" s="8"/>
      <c r="F256" s="8"/>
      <c r="G256" s="8"/>
      <c r="H256" s="8"/>
      <c r="I256" s="12"/>
      <c r="J256" s="8"/>
      <c r="K256" s="8"/>
    </row>
    <row r="257" spans="1:11">
      <c r="A257" s="12"/>
      <c r="B257" s="8"/>
      <c r="C257" s="8"/>
      <c r="D257" s="8"/>
      <c r="E257" s="8"/>
      <c r="F257" s="8"/>
      <c r="G257" s="8"/>
      <c r="H257" s="8"/>
      <c r="I257" s="12"/>
      <c r="J257" s="8"/>
      <c r="K257" s="8"/>
    </row>
    <row r="258" spans="1:11">
      <c r="A258" s="12"/>
      <c r="B258" s="8"/>
      <c r="C258" s="8"/>
      <c r="D258" s="8"/>
      <c r="E258" s="8"/>
      <c r="F258" s="8"/>
      <c r="G258" s="8"/>
      <c r="H258" s="8"/>
      <c r="I258" s="12"/>
      <c r="J258" s="8"/>
      <c r="K258" s="8"/>
    </row>
    <row r="259" spans="1:11">
      <c r="A259" s="12"/>
      <c r="B259" s="8"/>
      <c r="C259" s="8"/>
      <c r="D259" s="8"/>
      <c r="E259" s="8"/>
      <c r="F259" s="8"/>
      <c r="G259" s="8"/>
      <c r="H259" s="8"/>
      <c r="I259" s="12"/>
      <c r="J259" s="8"/>
      <c r="K259" s="8"/>
    </row>
    <row r="260" spans="1:11">
      <c r="A260" s="12"/>
      <c r="B260" s="8"/>
      <c r="C260" s="8"/>
      <c r="D260" s="8"/>
      <c r="E260" s="8"/>
      <c r="F260" s="8"/>
      <c r="G260" s="8"/>
      <c r="H260" s="8"/>
      <c r="I260" s="12"/>
      <c r="J260" s="8"/>
      <c r="K260" s="8"/>
    </row>
    <row r="261" spans="1:11">
      <c r="A261" s="12"/>
      <c r="B261" s="8"/>
      <c r="C261" s="8"/>
      <c r="D261" s="8"/>
      <c r="E261" s="8"/>
      <c r="F261" s="8"/>
      <c r="G261" s="8"/>
      <c r="H261" s="8"/>
      <c r="I261" s="12"/>
      <c r="J261" s="8"/>
      <c r="K261" s="8"/>
    </row>
    <row r="262" spans="1:11">
      <c r="A262" s="12"/>
      <c r="B262" s="8"/>
      <c r="C262" s="8"/>
      <c r="D262" s="8"/>
      <c r="E262" s="8"/>
      <c r="F262" s="8"/>
      <c r="G262" s="8"/>
      <c r="H262" s="8"/>
      <c r="I262" s="12"/>
      <c r="J262" s="8"/>
      <c r="K262" s="8"/>
    </row>
    <row r="263" spans="1:11">
      <c r="A263" s="12"/>
      <c r="B263" s="8"/>
      <c r="C263" s="8"/>
      <c r="D263" s="8"/>
      <c r="E263" s="8"/>
      <c r="F263" s="8"/>
      <c r="G263" s="8"/>
      <c r="H263" s="8"/>
      <c r="I263" s="12"/>
      <c r="J263" s="8"/>
      <c r="K263" s="8"/>
    </row>
    <row r="264" spans="1:11">
      <c r="A264" s="12"/>
      <c r="B264" s="8"/>
      <c r="C264" s="8"/>
      <c r="D264" s="8"/>
      <c r="E264" s="8"/>
      <c r="F264" s="8"/>
      <c r="G264" s="8"/>
      <c r="H264" s="8"/>
      <c r="I264" s="12"/>
      <c r="J264" s="8"/>
      <c r="K264" s="8"/>
    </row>
    <row r="265" spans="1:11">
      <c r="A265" s="12"/>
      <c r="B265" s="8"/>
      <c r="C265" s="8"/>
      <c r="D265" s="8"/>
      <c r="E265" s="8"/>
      <c r="F265" s="8"/>
      <c r="G265" s="8"/>
      <c r="H265" s="8"/>
      <c r="I265" s="12"/>
      <c r="J265" s="8"/>
      <c r="K265" s="8"/>
    </row>
    <row r="266" spans="1:11">
      <c r="A266" s="12"/>
      <c r="B266" s="8"/>
      <c r="C266" s="8"/>
      <c r="D266" s="8"/>
      <c r="E266" s="8"/>
      <c r="F266" s="8"/>
      <c r="G266" s="8"/>
      <c r="H266" s="8"/>
      <c r="I266" s="12"/>
      <c r="J266" s="8"/>
      <c r="K266" s="8"/>
    </row>
    <row r="267" spans="1:11">
      <c r="A267" s="12"/>
      <c r="B267" s="8"/>
      <c r="C267" s="8"/>
      <c r="D267" s="8"/>
      <c r="E267" s="8"/>
      <c r="F267" s="8"/>
      <c r="G267" s="8"/>
      <c r="H267" s="8"/>
      <c r="I267" s="12"/>
      <c r="J267" s="8"/>
      <c r="K267" s="8"/>
    </row>
    <row r="268" spans="1:11">
      <c r="A268" s="12"/>
      <c r="B268" s="8"/>
      <c r="C268" s="8"/>
      <c r="D268" s="8"/>
      <c r="E268" s="8"/>
      <c r="F268" s="8"/>
      <c r="G268" s="8"/>
      <c r="H268" s="8"/>
      <c r="I268" s="12"/>
      <c r="J268" s="8"/>
      <c r="K268" s="8"/>
    </row>
    <row r="269" spans="1:11">
      <c r="A269" s="12"/>
      <c r="B269" s="8"/>
      <c r="C269" s="8"/>
      <c r="D269" s="8"/>
      <c r="E269" s="8"/>
      <c r="F269" s="8"/>
      <c r="G269" s="8"/>
      <c r="H269" s="8"/>
      <c r="I269" s="12"/>
      <c r="J269" s="8"/>
      <c r="K269" s="8"/>
    </row>
    <row r="270" spans="1:11">
      <c r="A270" s="12"/>
      <c r="B270" s="8"/>
      <c r="C270" s="8"/>
      <c r="D270" s="8"/>
      <c r="E270" s="8"/>
      <c r="F270" s="8"/>
      <c r="G270" s="8"/>
      <c r="H270" s="8"/>
      <c r="I270" s="12"/>
      <c r="J270" s="8"/>
      <c r="K270" s="8"/>
    </row>
    <row r="271" spans="1:11">
      <c r="A271" s="12"/>
      <c r="B271" s="8"/>
      <c r="C271" s="8"/>
      <c r="D271" s="8"/>
      <c r="E271" s="8"/>
      <c r="F271" s="8"/>
      <c r="G271" s="8"/>
      <c r="H271" s="8"/>
      <c r="I271" s="12"/>
      <c r="J271" s="8"/>
      <c r="K271" s="8"/>
    </row>
    <row r="272" spans="1:11">
      <c r="A272" s="12"/>
      <c r="B272" s="8"/>
      <c r="C272" s="8"/>
      <c r="D272" s="8"/>
      <c r="E272" s="8"/>
      <c r="F272" s="8"/>
      <c r="G272" s="8"/>
      <c r="H272" s="8"/>
      <c r="I272" s="12"/>
      <c r="J272" s="8"/>
      <c r="K272" s="8"/>
    </row>
    <row r="273" spans="1:11">
      <c r="A273" s="12"/>
      <c r="B273" s="8"/>
      <c r="C273" s="8"/>
      <c r="D273" s="8"/>
      <c r="E273" s="8"/>
      <c r="F273" s="8"/>
      <c r="G273" s="8"/>
      <c r="H273" s="8"/>
      <c r="I273" s="12"/>
      <c r="J273" s="8"/>
      <c r="K273" s="8"/>
    </row>
    <row r="274" spans="1:11">
      <c r="A274" s="12"/>
      <c r="B274" s="8"/>
      <c r="C274" s="8"/>
      <c r="D274" s="8"/>
      <c r="E274" s="8"/>
      <c r="F274" s="8"/>
      <c r="G274" s="8"/>
      <c r="H274" s="8"/>
      <c r="I274" s="12"/>
      <c r="J274" s="8"/>
      <c r="K274" s="8"/>
    </row>
    <row r="275" spans="1:11">
      <c r="A275" s="12"/>
      <c r="B275" s="8"/>
      <c r="C275" s="8"/>
      <c r="D275" s="8"/>
      <c r="E275" s="8"/>
      <c r="F275" s="8"/>
      <c r="G275" s="8"/>
      <c r="H275" s="8"/>
      <c r="I275" s="12"/>
      <c r="J275" s="8"/>
      <c r="K275" s="8"/>
    </row>
    <row r="276" spans="1:11">
      <c r="A276" s="12"/>
      <c r="B276" s="8"/>
      <c r="C276" s="8"/>
      <c r="D276" s="8"/>
      <c r="E276" s="8"/>
      <c r="F276" s="8"/>
      <c r="G276" s="8"/>
      <c r="H276" s="8"/>
      <c r="I276" s="12"/>
      <c r="J276" s="8"/>
      <c r="K276" s="8"/>
    </row>
    <row r="277" spans="1:11">
      <c r="A277" s="12"/>
      <c r="B277" s="8"/>
      <c r="C277" s="8"/>
      <c r="D277" s="8"/>
      <c r="E277" s="8"/>
      <c r="F277" s="8"/>
      <c r="G277" s="8"/>
      <c r="H277" s="8"/>
      <c r="I277" s="12"/>
      <c r="J277" s="8"/>
      <c r="K277" s="8"/>
    </row>
    <row r="278" spans="1:11">
      <c r="A278" s="12"/>
      <c r="B278" s="8"/>
      <c r="C278" s="8"/>
      <c r="D278" s="8"/>
      <c r="E278" s="8"/>
      <c r="F278" s="8"/>
      <c r="G278" s="8"/>
      <c r="H278" s="8"/>
      <c r="I278" s="12"/>
      <c r="J278" s="8"/>
      <c r="K278" s="8"/>
    </row>
    <row r="279" spans="1:11">
      <c r="A279" s="12"/>
      <c r="B279" s="8"/>
      <c r="C279" s="8"/>
      <c r="D279" s="8"/>
      <c r="E279" s="8"/>
      <c r="F279" s="8"/>
      <c r="G279" s="8"/>
      <c r="H279" s="8"/>
      <c r="I279" s="12"/>
      <c r="J279" s="8"/>
      <c r="K279" s="8"/>
    </row>
    <row r="280" spans="1:11">
      <c r="A280" s="12"/>
      <c r="B280" s="8"/>
      <c r="C280" s="8"/>
      <c r="D280" s="8"/>
      <c r="E280" s="8"/>
      <c r="F280" s="8"/>
      <c r="G280" s="8"/>
      <c r="H280" s="8"/>
      <c r="I280" s="12"/>
      <c r="J280" s="8"/>
      <c r="K280" s="8"/>
    </row>
    <row r="281" spans="1:11">
      <c r="A281" s="12"/>
      <c r="B281" s="8"/>
      <c r="C281" s="8"/>
      <c r="D281" s="8"/>
      <c r="E281" s="8"/>
      <c r="F281" s="8"/>
      <c r="G281" s="8"/>
      <c r="H281" s="8"/>
      <c r="I281" s="12"/>
      <c r="J281" s="8"/>
      <c r="K281" s="8"/>
    </row>
    <row r="282" spans="1:11">
      <c r="A282" s="12"/>
      <c r="B282" s="8"/>
      <c r="C282" s="8"/>
      <c r="D282" s="8"/>
      <c r="E282" s="8"/>
      <c r="F282" s="8"/>
      <c r="G282" s="8"/>
      <c r="H282" s="8"/>
      <c r="I282" s="12"/>
      <c r="J282" s="8"/>
      <c r="K282" s="8"/>
    </row>
    <row r="283" spans="1:11">
      <c r="A283" s="12"/>
      <c r="B283" s="8"/>
      <c r="C283" s="8"/>
      <c r="D283" s="8"/>
      <c r="E283" s="8"/>
      <c r="F283" s="8"/>
      <c r="G283" s="8"/>
      <c r="H283" s="8"/>
      <c r="I283" s="12"/>
      <c r="J283" s="8"/>
      <c r="K283" s="8"/>
    </row>
    <row r="284" spans="1:11">
      <c r="A284" s="12"/>
      <c r="B284" s="8"/>
      <c r="C284" s="8"/>
      <c r="D284" s="8"/>
      <c r="E284" s="8"/>
      <c r="F284" s="8"/>
      <c r="G284" s="8"/>
      <c r="H284" s="8"/>
      <c r="I284" s="12"/>
      <c r="J284" s="8"/>
      <c r="K284" s="8"/>
    </row>
    <row r="285" spans="1:11">
      <c r="A285" s="12"/>
      <c r="B285" s="8"/>
      <c r="C285" s="8"/>
      <c r="D285" s="8"/>
      <c r="E285" s="8"/>
      <c r="F285" s="8"/>
      <c r="G285" s="8"/>
      <c r="H285" s="8"/>
      <c r="I285" s="12"/>
      <c r="J285" s="8"/>
      <c r="K285" s="8"/>
    </row>
    <row r="286" spans="1:11">
      <c r="A286" s="12"/>
      <c r="B286" s="8"/>
      <c r="C286" s="8"/>
      <c r="D286" s="8"/>
      <c r="E286" s="8"/>
      <c r="F286" s="8"/>
      <c r="G286" s="8"/>
      <c r="H286" s="8"/>
      <c r="I286" s="12"/>
      <c r="J286" s="8"/>
      <c r="K286" s="8"/>
    </row>
    <row r="287" spans="1:11">
      <c r="A287" s="12"/>
      <c r="B287" s="8"/>
      <c r="C287" s="8"/>
      <c r="D287" s="8"/>
      <c r="E287" s="8"/>
      <c r="F287" s="8"/>
      <c r="G287" s="8"/>
      <c r="H287" s="8"/>
      <c r="I287" s="12"/>
      <c r="J287" s="8"/>
      <c r="K287" s="8"/>
    </row>
    <row r="288" spans="1:11">
      <c r="A288" s="12"/>
      <c r="B288" s="8"/>
      <c r="C288" s="8"/>
      <c r="D288" s="8"/>
      <c r="E288" s="8"/>
      <c r="F288" s="8"/>
      <c r="G288" s="8"/>
      <c r="H288" s="8"/>
      <c r="I288" s="12"/>
      <c r="J288" s="8"/>
      <c r="K288" s="8"/>
    </row>
    <row r="289" spans="1:11">
      <c r="A289" s="12"/>
      <c r="B289" s="8"/>
      <c r="C289" s="8"/>
      <c r="D289" s="8"/>
      <c r="E289" s="8"/>
      <c r="F289" s="8"/>
      <c r="G289" s="8"/>
      <c r="H289" s="8"/>
      <c r="I289" s="12"/>
      <c r="J289" s="8"/>
      <c r="K289" s="8"/>
    </row>
    <row r="290" spans="1:11">
      <c r="A290" s="12"/>
      <c r="B290" s="8"/>
      <c r="C290" s="8"/>
      <c r="D290" s="8"/>
      <c r="E290" s="8"/>
      <c r="F290" s="8"/>
      <c r="G290" s="8"/>
      <c r="H290" s="8"/>
      <c r="I290" s="12"/>
      <c r="J290" s="8"/>
      <c r="K290" s="8"/>
    </row>
    <row r="291" spans="1:11">
      <c r="A291" s="12"/>
      <c r="B291" s="8"/>
      <c r="C291" s="8"/>
      <c r="D291" s="8"/>
      <c r="E291" s="8"/>
      <c r="F291" s="8"/>
      <c r="G291" s="8"/>
      <c r="H291" s="8"/>
      <c r="I291" s="12"/>
      <c r="J291" s="8"/>
      <c r="K291" s="8"/>
    </row>
    <row r="292" spans="1:11">
      <c r="A292" s="12"/>
      <c r="B292" s="8"/>
      <c r="C292" s="8"/>
      <c r="D292" s="8"/>
      <c r="E292" s="8"/>
      <c r="F292" s="8"/>
      <c r="G292" s="8"/>
      <c r="H292" s="8"/>
      <c r="I292" s="12"/>
      <c r="J292" s="8"/>
      <c r="K292" s="8"/>
    </row>
    <row r="293" spans="1:11">
      <c r="A293" s="12"/>
      <c r="B293" s="8"/>
      <c r="C293" s="8"/>
      <c r="D293" s="8"/>
      <c r="E293" s="8"/>
      <c r="F293" s="8"/>
      <c r="G293" s="8"/>
      <c r="H293" s="8"/>
      <c r="I293" s="12"/>
      <c r="J293" s="8"/>
      <c r="K293" s="8"/>
    </row>
    <row r="294" spans="1:11">
      <c r="A294" s="12"/>
      <c r="B294" s="8"/>
      <c r="C294" s="8"/>
      <c r="D294" s="8"/>
      <c r="E294" s="8"/>
      <c r="F294" s="8"/>
      <c r="G294" s="8"/>
      <c r="H294" s="8"/>
      <c r="I294" s="12"/>
      <c r="J294" s="8"/>
      <c r="K294" s="8"/>
    </row>
    <row r="295" spans="1:11">
      <c r="A295" s="12"/>
      <c r="B295" s="8"/>
      <c r="C295" s="8"/>
      <c r="D295" s="8"/>
      <c r="E295" s="8"/>
      <c r="F295" s="8"/>
      <c r="G295" s="8"/>
      <c r="H295" s="8"/>
      <c r="I295" s="12"/>
      <c r="J295" s="8"/>
      <c r="K295" s="8"/>
    </row>
    <row r="296" spans="1:11">
      <c r="A296" s="12"/>
      <c r="B296" s="8"/>
      <c r="C296" s="8"/>
      <c r="D296" s="8"/>
      <c r="E296" s="8"/>
      <c r="F296" s="8"/>
      <c r="G296" s="8"/>
      <c r="H296" s="8"/>
      <c r="I296" s="12"/>
      <c r="J296" s="8"/>
      <c r="K296" s="8"/>
    </row>
    <row r="297" spans="1:11">
      <c r="A297" s="12"/>
      <c r="B297" s="8"/>
      <c r="C297" s="8"/>
      <c r="D297" s="8"/>
      <c r="E297" s="8"/>
      <c r="F297" s="8"/>
      <c r="G297" s="8"/>
      <c r="H297" s="8"/>
      <c r="I297" s="12"/>
      <c r="J297" s="8"/>
      <c r="K297" s="8"/>
    </row>
    <row r="298" spans="1:11">
      <c r="A298" s="12"/>
      <c r="B298" s="8"/>
      <c r="C298" s="8"/>
      <c r="D298" s="8"/>
      <c r="E298" s="8"/>
      <c r="F298" s="8"/>
      <c r="G298" s="8"/>
      <c r="H298" s="8"/>
      <c r="I298" s="12"/>
      <c r="J298" s="8"/>
      <c r="K298" s="8"/>
    </row>
    <row r="299" spans="1:11">
      <c r="A299" s="12"/>
      <c r="B299" s="8"/>
      <c r="C299" s="8"/>
      <c r="D299" s="8"/>
      <c r="E299" s="8"/>
      <c r="F299" s="8"/>
      <c r="G299" s="8"/>
      <c r="H299" s="8"/>
      <c r="I299" s="12"/>
      <c r="J299" s="8"/>
      <c r="K299" s="8"/>
    </row>
    <row r="300" spans="1:11">
      <c r="A300" s="12"/>
      <c r="B300" s="8"/>
      <c r="C300" s="8"/>
      <c r="D300" s="8"/>
      <c r="E300" s="8"/>
      <c r="F300" s="8"/>
      <c r="G300" s="8"/>
      <c r="H300" s="8"/>
      <c r="I300" s="12"/>
      <c r="J300" s="8"/>
      <c r="K300" s="8"/>
    </row>
    <row r="301" spans="1:11">
      <c r="A301" s="12"/>
      <c r="B301" s="8"/>
      <c r="C301" s="8"/>
      <c r="D301" s="8"/>
      <c r="E301" s="8"/>
      <c r="F301" s="8"/>
      <c r="G301" s="8"/>
      <c r="H301" s="8"/>
      <c r="I301" s="12"/>
      <c r="J301" s="8"/>
      <c r="K301" s="8"/>
    </row>
    <row r="302" spans="1:11">
      <c r="A302" s="12"/>
      <c r="B302" s="8"/>
      <c r="C302" s="8"/>
      <c r="D302" s="8"/>
      <c r="E302" s="8"/>
      <c r="F302" s="8"/>
      <c r="G302" s="8"/>
      <c r="H302" s="8"/>
      <c r="I302" s="12"/>
      <c r="J302" s="8"/>
      <c r="K302" s="8"/>
    </row>
    <row r="303" spans="1:11">
      <c r="A303" s="12"/>
      <c r="B303" s="8"/>
      <c r="C303" s="8"/>
      <c r="D303" s="8"/>
      <c r="E303" s="8"/>
      <c r="F303" s="8"/>
      <c r="G303" s="8"/>
      <c r="H303" s="8"/>
      <c r="I303" s="12"/>
      <c r="J303" s="8"/>
      <c r="K303" s="8"/>
    </row>
    <row r="304" spans="1:11">
      <c r="A304" s="12"/>
      <c r="B304" s="8"/>
      <c r="C304" s="8"/>
      <c r="D304" s="8"/>
      <c r="E304" s="8"/>
      <c r="F304" s="8"/>
      <c r="G304" s="8"/>
      <c r="H304" s="8"/>
      <c r="I304" s="12"/>
      <c r="J304" s="8"/>
      <c r="K304" s="8"/>
    </row>
    <row r="305" spans="1:11">
      <c r="A305" s="12"/>
      <c r="B305" s="8"/>
      <c r="C305" s="8"/>
      <c r="D305" s="8"/>
      <c r="E305" s="8"/>
      <c r="F305" s="8"/>
      <c r="G305" s="8"/>
      <c r="H305" s="8"/>
      <c r="I305" s="12"/>
      <c r="J305" s="8"/>
      <c r="K305" s="8"/>
    </row>
    <row r="306" spans="1:11">
      <c r="A306" s="12"/>
      <c r="B306" s="8"/>
      <c r="C306" s="8"/>
      <c r="D306" s="8"/>
      <c r="E306" s="8"/>
      <c r="F306" s="8"/>
      <c r="G306" s="8"/>
      <c r="H306" s="8"/>
      <c r="I306" s="12"/>
      <c r="J306" s="8"/>
      <c r="K306" s="8"/>
    </row>
    <row r="307" spans="1:11">
      <c r="A307" s="12"/>
      <c r="B307" s="8"/>
      <c r="C307" s="8"/>
      <c r="D307" s="8"/>
      <c r="E307" s="8"/>
      <c r="F307" s="8"/>
      <c r="G307" s="8"/>
      <c r="H307" s="8"/>
      <c r="I307" s="12"/>
      <c r="J307" s="8"/>
      <c r="K307" s="8"/>
    </row>
    <row r="308" spans="1:11">
      <c r="A308" s="12"/>
      <c r="B308" s="8"/>
      <c r="C308" s="8"/>
      <c r="D308" s="8"/>
      <c r="E308" s="8"/>
      <c r="F308" s="8"/>
      <c r="G308" s="8"/>
      <c r="H308" s="8"/>
      <c r="I308" s="12"/>
      <c r="J308" s="8"/>
      <c r="K308" s="8"/>
    </row>
    <row r="309" spans="1:11">
      <c r="A309" s="12"/>
      <c r="B309" s="8"/>
      <c r="C309" s="8"/>
      <c r="D309" s="8"/>
      <c r="E309" s="8"/>
      <c r="F309" s="8"/>
      <c r="G309" s="8"/>
      <c r="H309" s="8"/>
      <c r="I309" s="12"/>
      <c r="J309" s="8"/>
      <c r="K309" s="8"/>
    </row>
    <row r="310" spans="1:11">
      <c r="A310" s="12"/>
      <c r="B310" s="8"/>
      <c r="C310" s="8"/>
      <c r="D310" s="8"/>
      <c r="E310" s="8"/>
      <c r="F310" s="8"/>
      <c r="G310" s="8"/>
      <c r="H310" s="8"/>
      <c r="I310" s="12"/>
      <c r="J310" s="8"/>
      <c r="K310" s="8"/>
    </row>
    <row r="311" spans="1:11">
      <c r="A311" s="12"/>
      <c r="B311" s="8"/>
      <c r="C311" s="8"/>
      <c r="D311" s="8"/>
      <c r="E311" s="8"/>
      <c r="F311" s="8"/>
      <c r="G311" s="8"/>
      <c r="H311" s="8"/>
      <c r="I311" s="12"/>
      <c r="J311" s="8"/>
      <c r="K311" s="8"/>
    </row>
    <row r="312" spans="1:11">
      <c r="A312" s="12"/>
      <c r="B312" s="8"/>
      <c r="C312" s="8"/>
      <c r="D312" s="8"/>
      <c r="E312" s="8"/>
      <c r="F312" s="8"/>
      <c r="G312" s="8"/>
      <c r="H312" s="8"/>
      <c r="I312" s="12"/>
      <c r="J312" s="8"/>
      <c r="K312" s="8"/>
    </row>
    <row r="313" spans="1:11">
      <c r="A313" s="12"/>
      <c r="B313" s="8"/>
      <c r="C313" s="8"/>
      <c r="D313" s="8"/>
      <c r="E313" s="8"/>
      <c r="F313" s="8"/>
      <c r="G313" s="8"/>
      <c r="H313" s="8"/>
      <c r="I313" s="12"/>
      <c r="J313" s="8"/>
      <c r="K313" s="8"/>
    </row>
    <row r="314" spans="1:11">
      <c r="A314" s="12"/>
      <c r="B314" s="8"/>
      <c r="C314" s="8"/>
      <c r="D314" s="8"/>
      <c r="E314" s="8"/>
      <c r="F314" s="8"/>
      <c r="G314" s="8"/>
      <c r="H314" s="8"/>
      <c r="I314" s="12"/>
      <c r="J314" s="8"/>
      <c r="K314" s="8"/>
    </row>
    <row r="315" spans="1:11">
      <c r="A315" s="12"/>
      <c r="B315" s="8"/>
      <c r="C315" s="8"/>
      <c r="D315" s="8"/>
      <c r="E315" s="8"/>
      <c r="F315" s="8"/>
      <c r="G315" s="8"/>
      <c r="H315" s="8"/>
      <c r="I315" s="12"/>
      <c r="J315" s="8"/>
      <c r="K315" s="8"/>
    </row>
    <row r="316" spans="1:11">
      <c r="A316" s="12"/>
      <c r="B316" s="8"/>
      <c r="C316" s="8"/>
      <c r="D316" s="8"/>
      <c r="E316" s="8"/>
      <c r="F316" s="8"/>
      <c r="G316" s="8"/>
      <c r="H316" s="8"/>
      <c r="I316" s="12"/>
      <c r="J316" s="8"/>
      <c r="K316" s="8"/>
    </row>
    <row r="317" spans="1:11">
      <c r="A317" s="12"/>
      <c r="B317" s="8"/>
      <c r="C317" s="8"/>
      <c r="D317" s="8"/>
      <c r="E317" s="8"/>
      <c r="F317" s="8"/>
      <c r="G317" s="8"/>
      <c r="H317" s="8"/>
      <c r="I317" s="12"/>
      <c r="J317" s="8"/>
      <c r="K317" s="8"/>
    </row>
    <row r="318" spans="1:11">
      <c r="A318" s="12"/>
      <c r="B318" s="8"/>
      <c r="C318" s="8"/>
      <c r="D318" s="8"/>
      <c r="E318" s="8"/>
      <c r="F318" s="8"/>
      <c r="G318" s="8"/>
      <c r="H318" s="8"/>
      <c r="I318" s="12"/>
      <c r="J318" s="8"/>
      <c r="K318" s="8"/>
    </row>
    <row r="319" spans="1:11">
      <c r="A319" s="12"/>
      <c r="B319" s="8"/>
      <c r="C319" s="8"/>
      <c r="D319" s="8"/>
      <c r="E319" s="8"/>
      <c r="F319" s="8"/>
      <c r="G319" s="8"/>
      <c r="H319" s="8"/>
      <c r="I319" s="12"/>
      <c r="J319" s="8"/>
      <c r="K319" s="8"/>
    </row>
    <row r="320" spans="1:11">
      <c r="A320" s="12"/>
      <c r="B320" s="8"/>
      <c r="C320" s="8"/>
      <c r="D320" s="8"/>
      <c r="E320" s="8"/>
      <c r="F320" s="8"/>
      <c r="G320" s="8"/>
      <c r="H320" s="8"/>
      <c r="I320" s="12"/>
      <c r="J320" s="8"/>
      <c r="K320" s="8"/>
    </row>
    <row r="321" spans="1:11">
      <c r="A321" s="12"/>
      <c r="B321" s="8"/>
      <c r="C321" s="8"/>
      <c r="D321" s="8"/>
      <c r="E321" s="8"/>
      <c r="F321" s="8"/>
      <c r="G321" s="8"/>
      <c r="H321" s="8"/>
      <c r="I321" s="12"/>
      <c r="J321" s="8"/>
      <c r="K321" s="8"/>
    </row>
    <row r="322" spans="1:11">
      <c r="A322" s="12"/>
      <c r="B322" s="8"/>
      <c r="C322" s="8"/>
      <c r="D322" s="8"/>
      <c r="E322" s="8"/>
      <c r="F322" s="8"/>
      <c r="G322" s="8"/>
      <c r="H322" s="8"/>
      <c r="I322" s="12"/>
      <c r="J322" s="8"/>
      <c r="K322" s="8"/>
    </row>
    <row r="323" spans="1:11">
      <c r="A323" s="12"/>
      <c r="B323" s="8"/>
      <c r="C323" s="8"/>
      <c r="D323" s="8"/>
      <c r="E323" s="8"/>
      <c r="F323" s="8"/>
      <c r="G323" s="8"/>
      <c r="H323" s="8"/>
      <c r="I323" s="12"/>
      <c r="J323" s="8"/>
      <c r="K323" s="8"/>
    </row>
    <row r="324" spans="1:11">
      <c r="A324" s="12"/>
      <c r="B324" s="8"/>
      <c r="C324" s="8"/>
      <c r="D324" s="8"/>
      <c r="E324" s="8"/>
      <c r="F324" s="8"/>
      <c r="G324" s="8"/>
      <c r="H324" s="8"/>
      <c r="I324" s="12"/>
      <c r="J324" s="8"/>
      <c r="K324" s="8"/>
    </row>
    <row r="325" spans="1:11">
      <c r="A325" s="12"/>
      <c r="B325" s="8"/>
      <c r="C325" s="8"/>
      <c r="D325" s="8"/>
      <c r="E325" s="8"/>
      <c r="F325" s="8"/>
      <c r="G325" s="8"/>
      <c r="H325" s="8"/>
      <c r="I325" s="12"/>
      <c r="J325" s="8"/>
      <c r="K325" s="8"/>
    </row>
    <row r="326" spans="1:11">
      <c r="A326" s="12"/>
      <c r="B326" s="8"/>
      <c r="C326" s="8"/>
      <c r="D326" s="8"/>
      <c r="E326" s="8"/>
      <c r="F326" s="8"/>
      <c r="G326" s="8"/>
      <c r="H326" s="8"/>
      <c r="I326" s="12"/>
      <c r="J326" s="8"/>
      <c r="K326" s="8"/>
    </row>
    <row r="327" spans="1:11">
      <c r="A327" s="12"/>
      <c r="B327" s="8"/>
      <c r="C327" s="8"/>
      <c r="D327" s="8"/>
      <c r="E327" s="8"/>
      <c r="F327" s="8"/>
      <c r="G327" s="8"/>
      <c r="H327" s="8"/>
      <c r="I327" s="12"/>
      <c r="J327" s="8"/>
      <c r="K327" s="8"/>
    </row>
    <row r="328" spans="1:11">
      <c r="A328" s="12"/>
      <c r="B328" s="8"/>
      <c r="C328" s="8"/>
      <c r="D328" s="8"/>
      <c r="E328" s="8"/>
      <c r="F328" s="8"/>
      <c r="G328" s="8"/>
      <c r="H328" s="8"/>
      <c r="I328" s="12"/>
      <c r="J328" s="8"/>
      <c r="K328" s="8"/>
    </row>
    <row r="329" spans="1:11">
      <c r="A329" s="12"/>
      <c r="B329" s="8"/>
      <c r="C329" s="8"/>
      <c r="D329" s="8"/>
      <c r="E329" s="8"/>
      <c r="F329" s="8"/>
      <c r="G329" s="8"/>
      <c r="H329" s="8"/>
      <c r="I329" s="12"/>
      <c r="J329" s="8"/>
      <c r="K329" s="8"/>
    </row>
    <row r="330" spans="1:11">
      <c r="A330" s="12"/>
      <c r="B330" s="8"/>
      <c r="C330" s="8"/>
      <c r="D330" s="8"/>
      <c r="E330" s="8"/>
      <c r="F330" s="8"/>
      <c r="G330" s="8"/>
      <c r="H330" s="8"/>
      <c r="I330" s="12"/>
      <c r="J330" s="8"/>
      <c r="K330" s="8"/>
    </row>
    <row r="331" spans="1:11">
      <c r="A331" s="12"/>
      <c r="B331" s="8"/>
      <c r="C331" s="8"/>
      <c r="D331" s="8"/>
      <c r="E331" s="8"/>
      <c r="F331" s="8"/>
      <c r="G331" s="8"/>
      <c r="H331" s="8"/>
      <c r="I331" s="12"/>
      <c r="J331" s="8"/>
      <c r="K331" s="8"/>
    </row>
    <row r="332" spans="1:11">
      <c r="A332" s="12"/>
      <c r="B332" s="8"/>
      <c r="C332" s="8"/>
      <c r="D332" s="8"/>
      <c r="E332" s="8"/>
      <c r="F332" s="8"/>
      <c r="G332" s="8"/>
      <c r="H332" s="8"/>
      <c r="I332" s="12"/>
      <c r="J332" s="8"/>
      <c r="K332" s="8"/>
    </row>
    <row r="333" spans="1:11">
      <c r="A333" s="12"/>
      <c r="B333" s="8"/>
      <c r="C333" s="8"/>
      <c r="D333" s="8"/>
      <c r="E333" s="8"/>
      <c r="F333" s="8"/>
      <c r="G333" s="8"/>
      <c r="H333" s="8"/>
      <c r="I333" s="12"/>
      <c r="J333" s="8"/>
      <c r="K333" s="8"/>
    </row>
    <row r="334" spans="1:11">
      <c r="A334" s="12"/>
      <c r="B334" s="8"/>
      <c r="C334" s="8"/>
      <c r="D334" s="8"/>
      <c r="E334" s="8"/>
      <c r="F334" s="8"/>
      <c r="G334" s="8"/>
      <c r="H334" s="8"/>
      <c r="I334" s="12"/>
      <c r="J334" s="8"/>
      <c r="K334" s="8"/>
    </row>
    <row r="335" spans="1:11">
      <c r="A335" s="12"/>
      <c r="B335" s="8"/>
      <c r="C335" s="8"/>
      <c r="D335" s="8"/>
      <c r="E335" s="8"/>
      <c r="F335" s="8"/>
      <c r="G335" s="8"/>
      <c r="H335" s="8"/>
      <c r="I335" s="12"/>
      <c r="J335" s="8"/>
      <c r="K335" s="8"/>
    </row>
    <row r="336" spans="1:11">
      <c r="A336" s="12"/>
      <c r="B336" s="8"/>
      <c r="C336" s="8"/>
      <c r="D336" s="8"/>
      <c r="E336" s="8"/>
      <c r="F336" s="8"/>
      <c r="G336" s="8"/>
      <c r="H336" s="8"/>
      <c r="I336" s="12"/>
      <c r="J336" s="8"/>
      <c r="K336" s="8"/>
    </row>
    <row r="337" spans="1:11">
      <c r="A337" s="12"/>
      <c r="B337" s="8"/>
      <c r="C337" s="8"/>
      <c r="D337" s="8"/>
      <c r="E337" s="8"/>
      <c r="F337" s="8"/>
      <c r="G337" s="8"/>
      <c r="H337" s="8"/>
      <c r="I337" s="12"/>
      <c r="J337" s="8"/>
      <c r="K337" s="8"/>
    </row>
    <row r="338" spans="1:11">
      <c r="A338" s="12"/>
      <c r="B338" s="8"/>
      <c r="C338" s="8"/>
      <c r="D338" s="8"/>
      <c r="E338" s="8"/>
      <c r="F338" s="8"/>
      <c r="G338" s="8"/>
      <c r="H338" s="8"/>
      <c r="I338" s="12"/>
      <c r="J338" s="8"/>
      <c r="K338" s="8"/>
    </row>
    <row r="339" spans="1:11">
      <c r="A339" s="12"/>
      <c r="B339" s="8"/>
      <c r="C339" s="8"/>
      <c r="D339" s="8"/>
      <c r="E339" s="8"/>
      <c r="F339" s="8"/>
      <c r="G339" s="8"/>
      <c r="H339" s="8"/>
      <c r="I339" s="12"/>
      <c r="J339" s="8"/>
      <c r="K339" s="8"/>
    </row>
    <row r="340" spans="1:11">
      <c r="A340" s="12"/>
      <c r="B340" s="8"/>
      <c r="C340" s="8"/>
      <c r="D340" s="8"/>
      <c r="E340" s="8"/>
      <c r="F340" s="8"/>
      <c r="G340" s="8"/>
      <c r="H340" s="8"/>
      <c r="I340" s="12"/>
      <c r="J340" s="8"/>
      <c r="K340" s="8"/>
    </row>
    <row r="341" spans="1:11">
      <c r="A341" s="12"/>
      <c r="B341" s="8"/>
      <c r="C341" s="8"/>
      <c r="D341" s="8"/>
      <c r="E341" s="8"/>
      <c r="F341" s="8"/>
      <c r="G341" s="8"/>
      <c r="H341" s="8"/>
      <c r="I341" s="12"/>
      <c r="J341" s="8"/>
      <c r="K341" s="8"/>
    </row>
    <row r="342" spans="1:11">
      <c r="A342" s="12"/>
      <c r="B342" s="8"/>
      <c r="C342" s="8"/>
      <c r="D342" s="8"/>
      <c r="E342" s="8"/>
      <c r="F342" s="8"/>
      <c r="G342" s="8"/>
      <c r="H342" s="8"/>
      <c r="I342" s="12"/>
      <c r="J342" s="8"/>
      <c r="K342" s="8"/>
    </row>
    <row r="343" spans="1:11">
      <c r="A343" s="12"/>
      <c r="B343" s="8"/>
      <c r="C343" s="8"/>
      <c r="D343" s="8"/>
      <c r="E343" s="8"/>
      <c r="F343" s="8"/>
      <c r="G343" s="8"/>
      <c r="H343" s="8"/>
      <c r="I343" s="12"/>
      <c r="J343" s="8"/>
      <c r="K343" s="8"/>
    </row>
    <row r="344" spans="1:11">
      <c r="A344" s="12"/>
      <c r="B344" s="8"/>
      <c r="C344" s="8"/>
      <c r="D344" s="8"/>
      <c r="E344" s="8"/>
      <c r="F344" s="8"/>
      <c r="G344" s="8"/>
      <c r="H344" s="8"/>
      <c r="I344" s="12"/>
      <c r="J344" s="8"/>
      <c r="K344" s="8"/>
    </row>
    <row r="345" spans="1:11">
      <c r="A345" s="12"/>
      <c r="B345" s="8"/>
      <c r="C345" s="8"/>
      <c r="D345" s="8"/>
      <c r="E345" s="8"/>
      <c r="F345" s="8"/>
      <c r="G345" s="8"/>
      <c r="H345" s="8"/>
      <c r="I345" s="12"/>
      <c r="J345" s="8"/>
      <c r="K345" s="8"/>
    </row>
    <row r="346" spans="1:11">
      <c r="A346" s="12"/>
      <c r="B346" s="8"/>
      <c r="C346" s="8"/>
      <c r="D346" s="8"/>
      <c r="E346" s="8"/>
      <c r="F346" s="8"/>
      <c r="G346" s="8"/>
      <c r="H346" s="8"/>
      <c r="I346" s="12"/>
      <c r="J346" s="8"/>
      <c r="K346" s="8"/>
    </row>
    <row r="347" spans="1:11">
      <c r="A347" s="12"/>
      <c r="B347" s="8"/>
      <c r="C347" s="8"/>
      <c r="D347" s="8"/>
      <c r="E347" s="8"/>
      <c r="F347" s="8"/>
      <c r="G347" s="8"/>
      <c r="H347" s="8"/>
      <c r="I347" s="12"/>
      <c r="J347" s="8"/>
      <c r="K347" s="8"/>
    </row>
    <row r="348" spans="1:11">
      <c r="A348" s="12"/>
      <c r="B348" s="8"/>
      <c r="C348" s="8"/>
      <c r="D348" s="8"/>
      <c r="E348" s="8"/>
      <c r="F348" s="8"/>
      <c r="G348" s="8"/>
      <c r="H348" s="8"/>
      <c r="I348" s="12"/>
      <c r="J348" s="8"/>
      <c r="K348" s="8"/>
    </row>
    <row r="349" spans="1:11">
      <c r="A349" s="12"/>
      <c r="B349" s="8"/>
      <c r="C349" s="8"/>
      <c r="D349" s="8"/>
      <c r="E349" s="8"/>
      <c r="F349" s="8"/>
      <c r="G349" s="8"/>
      <c r="H349" s="8"/>
      <c r="I349" s="12"/>
      <c r="J349" s="8"/>
      <c r="K349" s="8"/>
    </row>
    <row r="350" spans="1:11">
      <c r="A350" s="12"/>
      <c r="B350" s="8"/>
      <c r="C350" s="8"/>
      <c r="D350" s="8"/>
      <c r="E350" s="8"/>
      <c r="F350" s="8"/>
      <c r="G350" s="8"/>
      <c r="H350" s="8"/>
      <c r="I350" s="12"/>
      <c r="J350" s="8"/>
      <c r="K350" s="8"/>
    </row>
    <row r="351" spans="1:11">
      <c r="A351" s="12"/>
      <c r="B351" s="8"/>
      <c r="C351" s="8"/>
      <c r="D351" s="8"/>
      <c r="E351" s="8"/>
      <c r="F351" s="8"/>
      <c r="G351" s="8"/>
      <c r="H351" s="8"/>
      <c r="I351" s="12"/>
      <c r="J351" s="8"/>
      <c r="K351" s="8"/>
    </row>
    <row r="352" spans="1:11">
      <c r="A352" s="12"/>
      <c r="B352" s="8"/>
      <c r="C352" s="8"/>
      <c r="D352" s="8"/>
      <c r="E352" s="8"/>
      <c r="F352" s="8"/>
      <c r="G352" s="8"/>
      <c r="H352" s="8"/>
      <c r="I352" s="12"/>
      <c r="J352" s="8"/>
      <c r="K352" s="8"/>
    </row>
    <row r="353" spans="1:11">
      <c r="A353" s="12"/>
      <c r="B353" s="8"/>
      <c r="C353" s="8"/>
      <c r="D353" s="8"/>
      <c r="E353" s="8"/>
      <c r="F353" s="8"/>
      <c r="G353" s="8"/>
      <c r="H353" s="8"/>
      <c r="I353" s="12"/>
      <c r="J353" s="8"/>
      <c r="K353" s="8"/>
    </row>
    <row r="354" spans="1:11">
      <c r="A354" s="12"/>
      <c r="B354" s="8"/>
      <c r="C354" s="8"/>
      <c r="D354" s="8"/>
      <c r="E354" s="8"/>
      <c r="F354" s="8"/>
      <c r="G354" s="8"/>
      <c r="H354" s="8"/>
      <c r="I354" s="12"/>
      <c r="J354" s="8"/>
      <c r="K354" s="8"/>
    </row>
    <row r="355" spans="1:11">
      <c r="A355" s="12"/>
      <c r="B355" s="8"/>
      <c r="C355" s="8"/>
      <c r="D355" s="8"/>
      <c r="E355" s="8"/>
      <c r="F355" s="8"/>
      <c r="G355" s="8"/>
      <c r="H355" s="8"/>
      <c r="I355" s="12"/>
      <c r="J355" s="8"/>
      <c r="K355" s="8"/>
    </row>
    <row r="356" spans="1:11">
      <c r="A356" s="12"/>
      <c r="B356" s="8"/>
      <c r="C356" s="8"/>
      <c r="D356" s="8"/>
      <c r="E356" s="8"/>
      <c r="F356" s="8"/>
      <c r="G356" s="8"/>
      <c r="H356" s="8"/>
      <c r="I356" s="12"/>
      <c r="J356" s="8"/>
      <c r="K356" s="8"/>
    </row>
    <row r="357" spans="1:11">
      <c r="A357" s="12"/>
      <c r="B357" s="8"/>
      <c r="C357" s="8"/>
      <c r="D357" s="8"/>
      <c r="E357" s="8"/>
      <c r="F357" s="8"/>
      <c r="G357" s="8"/>
      <c r="H357" s="8"/>
      <c r="I357" s="12"/>
      <c r="J357" s="8"/>
      <c r="K357" s="8"/>
    </row>
    <row r="358" spans="1:11">
      <c r="A358" s="12"/>
      <c r="B358" s="8"/>
      <c r="C358" s="8"/>
      <c r="D358" s="8"/>
      <c r="E358" s="8"/>
      <c r="F358" s="8"/>
      <c r="G358" s="8"/>
      <c r="H358" s="8"/>
      <c r="I358" s="12"/>
      <c r="J358" s="8"/>
      <c r="K358" s="8"/>
    </row>
    <row r="359" spans="1:11">
      <c r="A359" s="12"/>
      <c r="B359" s="8"/>
      <c r="C359" s="8"/>
      <c r="D359" s="8"/>
      <c r="E359" s="8"/>
      <c r="F359" s="8"/>
      <c r="G359" s="8"/>
      <c r="H359" s="8"/>
      <c r="I359" s="12"/>
      <c r="J359" s="8"/>
      <c r="K359" s="8"/>
    </row>
    <row r="360" spans="1:11">
      <c r="A360" s="12"/>
      <c r="B360" s="8"/>
      <c r="C360" s="8"/>
      <c r="D360" s="8"/>
      <c r="E360" s="8"/>
      <c r="F360" s="8"/>
      <c r="G360" s="8"/>
      <c r="H360" s="8"/>
      <c r="I360" s="12"/>
      <c r="J360" s="8"/>
      <c r="K360" s="8"/>
    </row>
    <row r="361" spans="1:11">
      <c r="A361" s="12"/>
      <c r="B361" s="8"/>
      <c r="C361" s="8"/>
      <c r="D361" s="8"/>
      <c r="E361" s="8"/>
      <c r="F361" s="8"/>
      <c r="G361" s="8"/>
      <c r="H361" s="8"/>
      <c r="I361" s="12"/>
      <c r="J361" s="8"/>
      <c r="K361" s="8"/>
    </row>
    <row r="362" spans="1:11">
      <c r="A362" s="12"/>
      <c r="B362" s="8"/>
      <c r="C362" s="8"/>
      <c r="D362" s="8"/>
      <c r="E362" s="8"/>
      <c r="F362" s="8"/>
      <c r="G362" s="8"/>
      <c r="H362" s="8"/>
      <c r="I362" s="12"/>
      <c r="J362" s="8"/>
      <c r="K362" s="8"/>
    </row>
    <row r="363" spans="1:11">
      <c r="A363" s="12"/>
      <c r="B363" s="8"/>
      <c r="C363" s="8"/>
      <c r="D363" s="8"/>
      <c r="E363" s="8"/>
      <c r="F363" s="8"/>
      <c r="G363" s="8"/>
      <c r="H363" s="8"/>
      <c r="I363" s="12"/>
      <c r="J363" s="8"/>
      <c r="K363" s="8"/>
    </row>
    <row r="364" spans="1:11">
      <c r="A364" s="12"/>
      <c r="B364" s="8"/>
      <c r="C364" s="8"/>
      <c r="D364" s="8"/>
      <c r="E364" s="8"/>
      <c r="F364" s="8"/>
      <c r="G364" s="8"/>
      <c r="H364" s="8"/>
      <c r="I364" s="12"/>
      <c r="J364" s="8"/>
      <c r="K364" s="8"/>
    </row>
    <row r="365" spans="1:11">
      <c r="A365" s="12"/>
      <c r="B365" s="8"/>
      <c r="C365" s="8"/>
      <c r="D365" s="8"/>
      <c r="E365" s="8"/>
      <c r="F365" s="8"/>
      <c r="G365" s="8"/>
      <c r="H365" s="8"/>
      <c r="I365" s="12"/>
      <c r="J365" s="8"/>
      <c r="K365" s="8"/>
    </row>
    <row r="366" spans="1:11">
      <c r="A366" s="12"/>
      <c r="B366" s="8"/>
      <c r="C366" s="8"/>
      <c r="D366" s="8"/>
      <c r="E366" s="8"/>
      <c r="F366" s="8"/>
      <c r="G366" s="8"/>
      <c r="H366" s="8"/>
      <c r="I366" s="12"/>
      <c r="J366" s="8"/>
      <c r="K366" s="8"/>
    </row>
    <row r="367" spans="1:11">
      <c r="A367" s="12"/>
      <c r="B367" s="8"/>
      <c r="C367" s="8"/>
      <c r="D367" s="8"/>
      <c r="E367" s="8"/>
      <c r="F367" s="8"/>
      <c r="G367" s="8"/>
      <c r="H367" s="8"/>
      <c r="I367" s="12"/>
      <c r="J367" s="8"/>
      <c r="K367" s="8"/>
    </row>
    <row r="368" spans="1:11">
      <c r="A368" s="12"/>
      <c r="B368" s="8"/>
      <c r="C368" s="8"/>
      <c r="D368" s="8"/>
      <c r="E368" s="8"/>
      <c r="F368" s="8"/>
      <c r="G368" s="8"/>
      <c r="H368" s="8"/>
      <c r="I368" s="12"/>
      <c r="J368" s="8"/>
      <c r="K368" s="8"/>
    </row>
    <row r="369" spans="1:11">
      <c r="A369" s="12"/>
      <c r="B369" s="8"/>
      <c r="C369" s="8"/>
      <c r="D369" s="8"/>
      <c r="E369" s="8"/>
      <c r="F369" s="8"/>
      <c r="G369" s="8"/>
      <c r="H369" s="8"/>
      <c r="I369" s="12"/>
      <c r="J369" s="8"/>
      <c r="K369" s="8"/>
    </row>
    <row r="370" spans="1:11">
      <c r="A370" s="12"/>
      <c r="B370" s="8"/>
      <c r="C370" s="8"/>
      <c r="D370" s="8"/>
      <c r="E370" s="8"/>
      <c r="F370" s="8"/>
      <c r="G370" s="8"/>
      <c r="H370" s="8"/>
      <c r="I370" s="12"/>
      <c r="J370" s="8"/>
      <c r="K370" s="8"/>
    </row>
    <row r="371" spans="1:11">
      <c r="A371" s="12"/>
      <c r="B371" s="8"/>
      <c r="C371" s="8"/>
      <c r="D371" s="8"/>
      <c r="E371" s="8"/>
      <c r="F371" s="8"/>
      <c r="G371" s="8"/>
      <c r="H371" s="8"/>
      <c r="I371" s="12"/>
      <c r="J371" s="8"/>
      <c r="K371" s="8"/>
    </row>
    <row r="372" spans="1:11">
      <c r="A372" s="12"/>
      <c r="B372" s="8"/>
      <c r="C372" s="8"/>
      <c r="D372" s="8"/>
      <c r="E372" s="8"/>
      <c r="F372" s="8"/>
      <c r="G372" s="8"/>
      <c r="H372" s="8"/>
      <c r="I372" s="12"/>
      <c r="J372" s="8"/>
      <c r="K372" s="8"/>
    </row>
    <row r="373" spans="1:11">
      <c r="A373" s="12"/>
      <c r="B373" s="8"/>
      <c r="C373" s="8"/>
      <c r="D373" s="8"/>
      <c r="E373" s="8"/>
      <c r="F373" s="8"/>
      <c r="G373" s="8"/>
      <c r="H373" s="8"/>
      <c r="I373" s="12"/>
      <c r="J373" s="8"/>
      <c r="K373" s="8"/>
    </row>
    <row r="374" spans="1:11">
      <c r="A374" s="12"/>
      <c r="B374" s="8"/>
      <c r="C374" s="8"/>
      <c r="D374" s="8"/>
      <c r="E374" s="8"/>
      <c r="F374" s="8"/>
      <c r="G374" s="8"/>
      <c r="H374" s="8"/>
      <c r="I374" s="12"/>
      <c r="J374" s="8"/>
      <c r="K374" s="8"/>
    </row>
    <row r="375" spans="1:11">
      <c r="A375" s="12"/>
      <c r="B375" s="8"/>
      <c r="C375" s="8"/>
      <c r="D375" s="8"/>
      <c r="E375" s="8"/>
      <c r="F375" s="8"/>
      <c r="G375" s="8"/>
      <c r="H375" s="8"/>
      <c r="I375" s="12"/>
      <c r="J375" s="8"/>
      <c r="K375" s="8"/>
    </row>
    <row r="376" spans="1:11">
      <c r="A376" s="12"/>
      <c r="B376" s="8"/>
      <c r="C376" s="8"/>
      <c r="D376" s="8"/>
      <c r="E376" s="8"/>
      <c r="F376" s="8"/>
      <c r="G376" s="8"/>
      <c r="H376" s="8"/>
      <c r="I376" s="12"/>
      <c r="J376" s="8"/>
      <c r="K376" s="8"/>
    </row>
    <row r="377" spans="1:11">
      <c r="A377" s="12"/>
      <c r="B377" s="8"/>
      <c r="C377" s="8"/>
      <c r="D377" s="8"/>
      <c r="E377" s="8"/>
      <c r="F377" s="8"/>
      <c r="G377" s="8"/>
      <c r="H377" s="8"/>
      <c r="I377" s="12"/>
      <c r="J377" s="8"/>
      <c r="K377" s="8"/>
    </row>
    <row r="378" spans="1:11">
      <c r="A378" s="12"/>
      <c r="B378" s="8"/>
      <c r="C378" s="8"/>
      <c r="D378" s="8"/>
      <c r="E378" s="8"/>
      <c r="F378" s="8"/>
      <c r="G378" s="8"/>
      <c r="H378" s="8"/>
      <c r="I378" s="12"/>
      <c r="J378" s="8"/>
      <c r="K378" s="8"/>
    </row>
    <row r="379" spans="1:11">
      <c r="A379" s="12"/>
      <c r="B379" s="8"/>
      <c r="C379" s="8"/>
      <c r="D379" s="8"/>
      <c r="E379" s="8"/>
      <c r="F379" s="8"/>
      <c r="G379" s="8"/>
      <c r="H379" s="8"/>
      <c r="I379" s="12"/>
      <c r="J379" s="8"/>
      <c r="K379" s="8"/>
    </row>
    <row r="380" spans="1:11">
      <c r="A380" s="12"/>
      <c r="B380" s="8"/>
      <c r="C380" s="8"/>
      <c r="D380" s="8"/>
      <c r="E380" s="8"/>
      <c r="F380" s="8"/>
      <c r="G380" s="8"/>
      <c r="H380" s="8"/>
      <c r="I380" s="12"/>
      <c r="J380" s="8"/>
      <c r="K380" s="8"/>
    </row>
    <row r="381" spans="1:11">
      <c r="A381" s="12"/>
      <c r="B381" s="8"/>
      <c r="C381" s="8"/>
      <c r="D381" s="8"/>
      <c r="E381" s="8"/>
      <c r="F381" s="8"/>
      <c r="G381" s="8"/>
      <c r="H381" s="8"/>
      <c r="I381" s="12"/>
      <c r="J381" s="8"/>
      <c r="K381" s="8"/>
    </row>
    <row r="382" spans="1:11">
      <c r="A382" s="12"/>
      <c r="B382" s="8"/>
      <c r="C382" s="8"/>
      <c r="D382" s="8"/>
      <c r="E382" s="8"/>
      <c r="F382" s="8"/>
      <c r="G382" s="8"/>
      <c r="H382" s="8"/>
      <c r="I382" s="12"/>
      <c r="J382" s="8"/>
      <c r="K382" s="8"/>
    </row>
    <row r="383" spans="1:11">
      <c r="A383" s="12"/>
      <c r="B383" s="8"/>
      <c r="C383" s="8"/>
      <c r="D383" s="8"/>
      <c r="E383" s="8"/>
      <c r="F383" s="8"/>
      <c r="G383" s="8"/>
      <c r="H383" s="8"/>
      <c r="I383" s="12"/>
      <c r="J383" s="8"/>
      <c r="K383" s="8"/>
    </row>
    <row r="384" spans="1:11">
      <c r="A384" s="12"/>
      <c r="B384" s="8"/>
      <c r="C384" s="8"/>
      <c r="D384" s="8"/>
      <c r="E384" s="8"/>
      <c r="F384" s="8"/>
      <c r="G384" s="8"/>
      <c r="H384" s="8"/>
      <c r="I384" s="12"/>
      <c r="J384" s="8"/>
      <c r="K384" s="8"/>
    </row>
    <row r="385" spans="1:11">
      <c r="A385" s="12"/>
      <c r="B385" s="8"/>
      <c r="C385" s="8"/>
      <c r="D385" s="8"/>
      <c r="E385" s="8"/>
      <c r="F385" s="8"/>
      <c r="G385" s="8"/>
      <c r="H385" s="8"/>
      <c r="I385" s="12"/>
      <c r="J385" s="8"/>
      <c r="K385" s="8"/>
    </row>
    <row r="386" spans="1:11">
      <c r="A386" s="12"/>
      <c r="B386" s="8"/>
      <c r="C386" s="8"/>
      <c r="D386" s="8"/>
      <c r="E386" s="8"/>
      <c r="F386" s="8"/>
      <c r="G386" s="8"/>
      <c r="H386" s="8"/>
      <c r="I386" s="12"/>
      <c r="J386" s="8"/>
      <c r="K386" s="8"/>
    </row>
    <row r="387" spans="1:11">
      <c r="A387" s="12"/>
      <c r="B387" s="8"/>
      <c r="C387" s="8"/>
      <c r="D387" s="8"/>
      <c r="E387" s="8"/>
      <c r="F387" s="8"/>
      <c r="G387" s="8"/>
      <c r="H387" s="8"/>
      <c r="I387" s="12"/>
      <c r="J387" s="8"/>
      <c r="K387" s="8"/>
    </row>
    <row r="388" spans="1:11">
      <c r="A388" s="12"/>
      <c r="B388" s="8"/>
      <c r="C388" s="8"/>
      <c r="D388" s="8"/>
      <c r="E388" s="8"/>
      <c r="F388" s="8"/>
      <c r="G388" s="8"/>
      <c r="H388" s="8"/>
      <c r="I388" s="12"/>
      <c r="J388" s="8"/>
      <c r="K388" s="8"/>
    </row>
    <row r="389" spans="1:11">
      <c r="A389" s="12"/>
      <c r="B389" s="8"/>
      <c r="C389" s="8"/>
      <c r="D389" s="8"/>
      <c r="E389" s="8"/>
      <c r="F389" s="8"/>
      <c r="G389" s="8"/>
      <c r="H389" s="8"/>
      <c r="I389" s="12"/>
      <c r="J389" s="8"/>
      <c r="K389" s="8"/>
    </row>
    <row r="390" spans="1:11">
      <c r="A390" s="12"/>
      <c r="B390" s="8"/>
      <c r="C390" s="8"/>
      <c r="D390" s="8"/>
      <c r="E390" s="8"/>
      <c r="F390" s="8"/>
      <c r="G390" s="8"/>
      <c r="H390" s="8"/>
      <c r="I390" s="12"/>
      <c r="J390" s="8"/>
      <c r="K390" s="8"/>
    </row>
    <row r="391" spans="1:11">
      <c r="A391" s="12"/>
      <c r="B391" s="8"/>
      <c r="C391" s="8"/>
      <c r="D391" s="8"/>
      <c r="E391" s="8"/>
      <c r="F391" s="8"/>
      <c r="G391" s="8"/>
      <c r="H391" s="8"/>
      <c r="I391" s="12"/>
      <c r="J391" s="8"/>
      <c r="K391" s="8"/>
    </row>
    <row r="392" spans="1:11">
      <c r="A392" s="12"/>
      <c r="B392" s="8"/>
      <c r="C392" s="8"/>
      <c r="D392" s="8"/>
      <c r="E392" s="8"/>
      <c r="F392" s="8"/>
      <c r="G392" s="8"/>
      <c r="H392" s="8"/>
      <c r="I392" s="12"/>
      <c r="J392" s="8"/>
      <c r="K392" s="8"/>
    </row>
    <row r="393" spans="1:11">
      <c r="A393" s="12"/>
      <c r="B393" s="8"/>
      <c r="C393" s="8"/>
      <c r="D393" s="8"/>
      <c r="E393" s="8"/>
      <c r="F393" s="8"/>
      <c r="G393" s="8"/>
      <c r="H393" s="8"/>
      <c r="I393" s="12"/>
      <c r="J393" s="8"/>
      <c r="K393" s="8"/>
    </row>
    <row r="394" spans="1:11">
      <c r="A394" s="12"/>
      <c r="B394" s="8"/>
      <c r="C394" s="8"/>
      <c r="D394" s="8"/>
      <c r="E394" s="8"/>
      <c r="F394" s="8"/>
      <c r="G394" s="8"/>
      <c r="H394" s="8"/>
      <c r="I394" s="12"/>
      <c r="J394" s="8"/>
      <c r="K394" s="8"/>
    </row>
    <row r="395" spans="1:11">
      <c r="A395" s="12"/>
      <c r="B395" s="8"/>
      <c r="C395" s="8"/>
      <c r="D395" s="8"/>
      <c r="E395" s="8"/>
      <c r="F395" s="8"/>
      <c r="G395" s="8"/>
      <c r="H395" s="8"/>
      <c r="I395" s="12"/>
      <c r="J395" s="8"/>
      <c r="K395" s="8"/>
    </row>
    <row r="396" spans="1:11">
      <c r="A396" s="12"/>
      <c r="B396" s="8"/>
      <c r="C396" s="8"/>
      <c r="D396" s="8"/>
      <c r="E396" s="8"/>
      <c r="F396" s="8"/>
      <c r="G396" s="8"/>
      <c r="H396" s="8"/>
      <c r="I396" s="12"/>
      <c r="J396" s="8"/>
      <c r="K396" s="8"/>
    </row>
    <row r="397" spans="1:11">
      <c r="A397" s="12"/>
      <c r="B397" s="8"/>
      <c r="C397" s="8"/>
      <c r="D397" s="8"/>
      <c r="E397" s="8"/>
      <c r="F397" s="8"/>
      <c r="G397" s="8"/>
      <c r="H397" s="8"/>
      <c r="I397" s="12"/>
      <c r="J397" s="8"/>
      <c r="K397" s="8"/>
    </row>
    <row r="398" spans="1:11">
      <c r="A398" s="12"/>
      <c r="B398" s="8"/>
      <c r="C398" s="8"/>
      <c r="D398" s="8"/>
      <c r="E398" s="8"/>
      <c r="F398" s="8"/>
      <c r="G398" s="8"/>
      <c r="H398" s="8"/>
      <c r="I398" s="12"/>
      <c r="J398" s="8"/>
      <c r="K398" s="8"/>
    </row>
    <row r="399" spans="1:11">
      <c r="A399" s="12"/>
      <c r="B399" s="8"/>
      <c r="C399" s="8"/>
      <c r="D399" s="8"/>
      <c r="E399" s="8"/>
      <c r="F399" s="8"/>
      <c r="G399" s="8"/>
      <c r="H399" s="8"/>
      <c r="I399" s="12"/>
      <c r="J399" s="8"/>
      <c r="K399" s="8"/>
    </row>
  </sheetData>
  <autoFilter ref="A5:K44" xr:uid="{00000000-0001-0000-0400-000000000000}">
    <filterColumn colId="1">
      <filters>
        <filter val="Shubham Hawdiya"/>
      </filters>
    </filterColumn>
  </autoFilter>
  <mergeCells count="2">
    <mergeCell ref="A1:K1"/>
    <mergeCell ref="A2:K2"/>
  </mergeCells>
  <conditionalFormatting sqref="D6:D399">
    <cfRule type="cellIs" dxfId="4" priority="2" operator="equal">
      <formula>"Blocked"</formula>
    </cfRule>
    <cfRule type="cellIs" dxfId="3" priority="3" operator="equal">
      <formula>"Delayed"</formula>
    </cfRule>
    <cfRule type="cellIs" dxfId="2" priority="4" operator="equal">
      <formula>"On Track"</formula>
    </cfRule>
    <cfRule type="cellIs" dxfId="1" priority="5" operator="equal">
      <formula>"Completed"</formula>
    </cfRule>
  </conditionalFormatting>
  <conditionalFormatting sqref="J6:J399">
    <cfRule type="cellIs" dxfId="0" priority="6" operator="equal">
      <formula>"No"</formula>
    </cfRule>
  </conditionalFormatting>
  <dataValidations count="2">
    <dataValidation type="list" allowBlank="1" sqref="D6:D399" xr:uid="{00000000-0002-0000-0400-000001000000}">
      <formula1>"On Track,Delayed,Blocked,Completed"</formula1>
      <formula2>0</formula2>
    </dataValidation>
    <dataValidation type="list" allowBlank="1" sqref="J6:J399" xr:uid="{00000000-0002-0000-04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'Team Master'!$B$3:$B$200</xm:f>
          </x14:formula1>
          <x14:formula2>
            <xm:f>0</xm:f>
          </x14:formula2>
          <xm:sqref>H6:H399 B6:B399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2</cp:revision>
  <dcterms:created xsi:type="dcterms:W3CDTF">2026-09-02T05:41:27Z</dcterms:created>
  <dcterms:modified xsi:type="dcterms:W3CDTF">2026-09-23T12:11:08Z</dcterms:modified>
  <cp:category/>
  <cp:contentStatus/>
</cp:coreProperties>
</file>